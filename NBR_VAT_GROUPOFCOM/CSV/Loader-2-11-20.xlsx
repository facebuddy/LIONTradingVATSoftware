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docProps/custom.xml" ContentType="application/vnd.openxmlformats-officedocument.custom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showInkAnnotation="0" codeName="ThisWorkbook"/>
  <bookViews>
    <workbookView xWindow="0" yWindow="0" windowWidth="20490" windowHeight="7620" tabRatio="565" firstSheet="5" activeTab="10"/>
  </bookViews>
  <sheets>
    <sheet name="LocalPurchase" sheetId="1" r:id="rId1"/>
    <sheet name="ImportProduct" sheetId="6" r:id="rId2"/>
    <sheet name="SetParty" sheetId="5" r:id="rId3"/>
    <sheet name="SalesData1" sheetId="7" r:id="rId4"/>
    <sheet name="ItemList" sheetId="8" r:id="rId5"/>
    <sheet name="OpeningBalance" sheetId="10" r:id="rId6"/>
    <sheet name="PrincipalInputs" sheetId="11" r:id="rId7"/>
    <sheet name="OtherPrincipalInputs" sheetId="15" r:id="rId8"/>
    <sheet name="ValueAddition" sheetId="12" r:id="rId9"/>
    <sheet name="BulkSaleData" sheetId="14" r:id="rId10"/>
    <sheet name="SalesData" sheetId="16" r:id="rId11"/>
  </sheets>
  <definedNames>
    <definedName name="_xlnm.Print_Area" localSheetId="2">SetParty!$A$1:$X$30</definedName>
  </definedNames>
  <calcPr calcId="124519"/>
</workbook>
</file>

<file path=xl/calcChain.xml><?xml version="1.0" encoding="utf-8"?>
<calcChain xmlns="http://schemas.openxmlformats.org/spreadsheetml/2006/main">
  <c r="L23" i="8"/>
  <c r="L24"/>
  <c r="L25"/>
  <c r="L26"/>
  <c r="L27"/>
  <c r="L28"/>
  <c r="L29"/>
  <c r="L30"/>
  <c r="L31"/>
  <c r="L32"/>
  <c r="L33"/>
  <c r="L34"/>
  <c r="L35"/>
  <c r="L36"/>
  <c r="L37"/>
  <c r="L38"/>
  <c r="L39"/>
  <c r="L40"/>
  <c r="L41"/>
  <c r="L42"/>
  <c r="L43"/>
  <c r="L44"/>
  <c r="L45"/>
  <c r="L46"/>
  <c r="L47"/>
  <c r="L48"/>
  <c r="L49"/>
  <c r="L50"/>
  <c r="L51"/>
  <c r="L52"/>
  <c r="L53"/>
  <c r="L54"/>
  <c r="L55"/>
  <c r="L56"/>
  <c r="L57"/>
  <c r="L58"/>
  <c r="L59"/>
  <c r="L60"/>
  <c r="L61"/>
  <c r="L62"/>
  <c r="L63"/>
  <c r="L64"/>
  <c r="L65"/>
  <c r="L66"/>
  <c r="L67"/>
  <c r="L68"/>
  <c r="L69"/>
  <c r="L70"/>
  <c r="L71"/>
  <c r="L72"/>
  <c r="L73"/>
  <c r="L74"/>
  <c r="L75"/>
  <c r="L76"/>
  <c r="L77"/>
  <c r="L78"/>
  <c r="L79"/>
  <c r="L80"/>
  <c r="L81"/>
  <c r="L82"/>
  <c r="L83"/>
  <c r="L84"/>
  <c r="L85"/>
  <c r="L86"/>
  <c r="L87"/>
  <c r="L88"/>
  <c r="L89"/>
  <c r="L90"/>
  <c r="L91"/>
  <c r="L92"/>
  <c r="L93"/>
  <c r="L94"/>
  <c r="L95"/>
  <c r="L96"/>
  <c r="L97"/>
  <c r="L98"/>
  <c r="L99"/>
  <c r="L100"/>
  <c r="L101"/>
  <c r="L102"/>
  <c r="L103"/>
  <c r="L104"/>
  <c r="L105"/>
  <c r="L106"/>
  <c r="L107"/>
  <c r="L108"/>
  <c r="L109"/>
  <c r="L110"/>
  <c r="L111"/>
  <c r="L112"/>
  <c r="L113"/>
  <c r="L114"/>
  <c r="L115"/>
  <c r="L116"/>
  <c r="L117"/>
  <c r="L118"/>
  <c r="L119"/>
  <c r="L120"/>
  <c r="L121"/>
  <c r="L122"/>
  <c r="L123"/>
  <c r="L124"/>
  <c r="L125"/>
  <c r="L126"/>
  <c r="L127"/>
  <c r="L128"/>
  <c r="L129"/>
  <c r="L130"/>
  <c r="L131"/>
  <c r="L132"/>
  <c r="L133"/>
  <c r="L134"/>
  <c r="L135"/>
  <c r="L136"/>
  <c r="L137"/>
  <c r="L138"/>
  <c r="L139"/>
  <c r="L140"/>
  <c r="L141"/>
  <c r="L142"/>
  <c r="L143"/>
  <c r="L144"/>
  <c r="L145"/>
  <c r="L146"/>
  <c r="L147"/>
  <c r="H3" i="7"/>
  <c r="U2" i="6"/>
  <c r="V2"/>
  <c r="AF2"/>
  <c r="AG2"/>
  <c r="U3"/>
  <c r="V3"/>
  <c r="AF3"/>
  <c r="AG3"/>
  <c r="U4"/>
  <c r="V4"/>
  <c r="AF4"/>
  <c r="AG4"/>
  <c r="U5"/>
  <c r="V5"/>
  <c r="AF5"/>
  <c r="AG5"/>
  <c r="M2" i="1"/>
  <c r="N2"/>
  <c r="P2"/>
  <c r="Q2"/>
  <c r="M3"/>
  <c r="N3"/>
  <c r="P3"/>
  <c r="Q3"/>
  <c r="M4"/>
  <c r="N4"/>
  <c r="P4"/>
  <c r="Q4"/>
  <c r="M5"/>
  <c r="N5"/>
  <c r="P5"/>
  <c r="Q5"/>
  <c r="I3" i="7"/>
  <c r="J3"/>
</calcChain>
</file>

<file path=xl/comments1.xml><?xml version="1.0" encoding="utf-8"?>
<comments xmlns="http://schemas.openxmlformats.org/spreadsheetml/2006/main">
  <authors>
    <author>mmkutadir</author>
  </authors>
  <commentList>
    <comment ref="I1" authorId="0">
      <text>
        <r>
          <rPr>
            <b/>
            <sz val="9"/>
            <rFont val="Tahoma"/>
            <family val="2"/>
          </rPr>
          <t>SD Rate (%)</t>
        </r>
      </text>
    </comment>
    <comment ref="J1" authorId="0">
      <text>
        <r>
          <rPr>
            <b/>
            <sz val="9"/>
            <rFont val="Tahoma"/>
            <family val="2"/>
          </rPr>
          <t>Vat Rate (%)</t>
        </r>
      </text>
    </comment>
  </commentList>
</comments>
</file>

<file path=xl/comments2.xml><?xml version="1.0" encoding="utf-8"?>
<comments xmlns="http://schemas.openxmlformats.org/spreadsheetml/2006/main">
  <authors>
    <author>mmkutadir</author>
  </authors>
  <commentList>
    <comment ref="I1" authorId="0">
      <text>
        <r>
          <rPr>
            <b/>
            <sz val="9"/>
            <rFont val="Tahoma"/>
            <family val="2"/>
          </rPr>
          <t>CD Rate (%)</t>
        </r>
      </text>
    </comment>
    <comment ref="J1" authorId="0">
      <text>
        <r>
          <rPr>
            <b/>
            <sz val="9"/>
            <rFont val="Tahoma"/>
            <family val="2"/>
          </rPr>
          <t>RD Rate (%)</t>
        </r>
      </text>
    </comment>
    <comment ref="K1" authorId="0">
      <text>
        <r>
          <rPr>
            <b/>
            <sz val="9"/>
            <rFont val="Tahoma"/>
            <family val="2"/>
          </rPr>
          <t>SD Rate (%)</t>
        </r>
      </text>
    </comment>
    <comment ref="L1" authorId="0">
      <text>
        <r>
          <rPr>
            <b/>
            <sz val="9"/>
            <rFont val="Tahoma"/>
            <family val="2"/>
          </rPr>
          <t>Vat Rate (%)</t>
        </r>
      </text>
    </comment>
    <comment ref="M1" authorId="0">
      <text>
        <r>
          <rPr>
            <b/>
            <sz val="9"/>
            <rFont val="Tahoma"/>
            <family val="2"/>
          </rPr>
          <t>AT Rate (%)</t>
        </r>
      </text>
    </comment>
    <comment ref="N1" authorId="0">
      <text>
        <r>
          <rPr>
            <b/>
            <sz val="9"/>
            <rFont val="Tahoma"/>
            <family val="2"/>
          </rPr>
          <t>AIT Rate (%)</t>
        </r>
      </text>
    </comment>
    <comment ref="O1" authorId="0">
      <text>
        <r>
          <rPr>
            <b/>
            <sz val="9"/>
            <rFont val="Tahoma"/>
            <family val="2"/>
          </rPr>
          <t>ATV Rate (%)</t>
        </r>
      </text>
    </comment>
    <comment ref="P1" authorId="0">
      <text>
        <r>
          <rPr>
            <b/>
            <sz val="9"/>
            <rFont val="Tahoma"/>
            <family val="2"/>
          </rPr>
          <t>TTI Rate (%)</t>
        </r>
      </text>
    </comment>
  </commentList>
</comments>
</file>

<file path=xl/comments3.xml><?xml version="1.0" encoding="utf-8"?>
<comments xmlns="http://schemas.openxmlformats.org/spreadsheetml/2006/main">
  <authors>
    <author>Tcl</author>
    <author>Nour</author>
    <author>mmkutadir</author>
  </authors>
  <commentList>
    <comment ref="A2" authorId="0">
      <text>
        <r>
          <rPr>
            <b/>
            <sz val="9"/>
            <rFont val="Times New Roman"/>
            <family val="1"/>
          </rPr>
          <t xml:space="preserve">Must not exist in database table
</t>
        </r>
        <r>
          <rPr>
            <sz val="9"/>
            <rFont val="Times New Roman"/>
            <family val="1"/>
          </rPr>
          <t xml:space="preserve">
</t>
        </r>
        <r>
          <rPr>
            <b/>
            <sz val="9"/>
            <rFont val="Times New Roman"/>
            <family val="1"/>
          </rPr>
          <t>Must not be empty</t>
        </r>
      </text>
    </comment>
    <comment ref="C2" authorId="1">
      <text>
        <r>
          <rPr>
            <sz val="9"/>
            <color indexed="81"/>
            <rFont val="Tahoma"/>
            <charset val="1"/>
          </rPr>
          <t>Must have 13 digits</t>
        </r>
      </text>
    </comment>
    <comment ref="I2" authorId="2">
      <text>
        <r>
          <rPr>
            <b/>
            <sz val="9"/>
            <rFont val="Tahoma"/>
            <family val="2"/>
          </rPr>
          <t>Either one from below
1 == Yes
0 == No</t>
        </r>
      </text>
    </comment>
    <comment ref="J2" authorId="0">
      <text>
        <r>
          <rPr>
            <sz val="9"/>
            <rFont val="Times New Roman"/>
            <family val="1"/>
          </rPr>
          <t>Should be in bangla from the existing list and string should match</t>
        </r>
      </text>
    </comment>
    <comment ref="K2" authorId="0">
      <text>
        <r>
          <rPr>
            <b/>
            <sz val="9"/>
            <rFont val="Times New Roman"/>
            <family val="1"/>
          </rPr>
          <t>should match existing types</t>
        </r>
      </text>
    </comment>
    <comment ref="L2" authorId="0">
      <text>
        <r>
          <rPr>
            <b/>
            <sz val="9"/>
            <rFont val="Times New Roman"/>
            <family val="1"/>
          </rPr>
          <t xml:space="preserve">If registration type is 
“Not Registered” then must insert NID No
</t>
        </r>
      </text>
    </comment>
    <comment ref="O2" authorId="0">
      <text>
        <r>
          <rPr>
            <b/>
            <sz val="9"/>
            <rFont val="Times New Roman"/>
            <family val="1"/>
          </rPr>
          <t xml:space="preserve">Either one from below
1 == Yes
0 == No
</t>
        </r>
      </text>
    </comment>
    <comment ref="P2" authorId="0">
      <text>
        <r>
          <rPr>
            <b/>
            <sz val="9"/>
            <rFont val="Times New Roman"/>
            <family val="1"/>
          </rPr>
          <t xml:space="preserve">Either one from below
1 == Yes
0 == No
</t>
        </r>
      </text>
    </comment>
    <comment ref="Q2" authorId="0">
      <text>
        <r>
          <rPr>
            <b/>
            <sz val="9"/>
            <rFont val="Times New Roman"/>
            <family val="1"/>
          </rPr>
          <t xml:space="preserve">Either one from below
1 == Yes
0 == No
</t>
        </r>
      </text>
    </comment>
    <comment ref="R2" authorId="0">
      <text>
        <r>
          <rPr>
            <b/>
            <sz val="9"/>
            <rFont val="Times New Roman"/>
            <family val="1"/>
          </rPr>
          <t xml:space="preserve">Either one from below
1 == Yes
0 == No
</t>
        </r>
      </text>
    </comment>
    <comment ref="S2" authorId="0">
      <text>
        <r>
          <rPr>
            <b/>
            <sz val="9"/>
            <rFont val="Times New Roman"/>
            <family val="1"/>
          </rPr>
          <t xml:space="preserve">Either one from below
1 == Yes
0 == No
</t>
        </r>
      </text>
    </comment>
    <comment ref="T2" authorId="0">
      <text>
        <r>
          <rPr>
            <b/>
            <sz val="9"/>
            <rFont val="Times New Roman"/>
            <family val="1"/>
          </rPr>
          <t xml:space="preserve">Spelling and strings should match existing Entries in database
</t>
        </r>
      </text>
    </comment>
    <comment ref="V2" authorId="0">
      <text>
        <r>
          <rPr>
            <b/>
            <sz val="9"/>
            <rFont val="Times New Roman"/>
            <family val="1"/>
          </rPr>
          <t xml:space="preserve">should match the string with existing database entries
</t>
        </r>
      </text>
    </comment>
    <comment ref="W2" authorId="0">
      <text>
        <r>
          <rPr>
            <b/>
            <sz val="9"/>
            <rFont val="Times New Roman"/>
            <family val="1"/>
          </rPr>
          <t xml:space="preserve">Either one from below
1 == Yes
0 == No
</t>
        </r>
      </text>
    </comment>
    <comment ref="X2" authorId="0">
      <text>
        <r>
          <rPr>
            <b/>
            <sz val="9"/>
            <rFont val="Times New Roman"/>
            <family val="1"/>
          </rPr>
          <t xml:space="preserve">Either one from below
1 == Yes
0 == No
</t>
        </r>
      </text>
    </comment>
  </commentList>
</comments>
</file>

<file path=xl/comments4.xml><?xml version="1.0" encoding="utf-8"?>
<comments xmlns="http://schemas.openxmlformats.org/spreadsheetml/2006/main">
  <authors>
    <author>mmkutadir</author>
    <author>abiden</author>
  </authors>
  <commentList>
    <comment ref="B1" authorId="0">
      <text>
        <r>
          <rPr>
            <b/>
            <sz val="9"/>
            <rFont val="Tahoma"/>
            <family val="2"/>
          </rPr>
          <t>write unit code
if KILOGRAM then write KG</t>
        </r>
      </text>
    </comment>
    <comment ref="F1" authorId="1">
      <text>
        <r>
          <rPr>
            <b/>
            <sz val="9"/>
            <rFont val="Tahoma"/>
            <family val="2"/>
          </rPr>
          <t>Vat Rate (%)
if vate rate 15% write 15</t>
        </r>
      </text>
    </comment>
    <comment ref="G1" authorId="1">
      <text>
        <r>
          <rPr>
            <b/>
            <sz val="9"/>
            <rFont val="Tahoma"/>
            <family val="2"/>
          </rPr>
          <t>SD Rate (%)
if sd rate 10% then write 10</t>
        </r>
      </text>
    </comment>
  </commentList>
</comments>
</file>

<file path=xl/comments5.xml><?xml version="1.0" encoding="utf-8"?>
<comments xmlns="http://schemas.openxmlformats.org/spreadsheetml/2006/main">
  <authors>
    <author>Tcl</author>
  </authors>
  <commentList>
    <comment ref="A2" authorId="0">
      <text>
        <r>
          <rPr>
            <b/>
            <sz val="9"/>
            <rFont val="Times New Roman"/>
            <family val="1"/>
          </rPr>
          <t>MUST NOT BE EMPTY</t>
        </r>
      </text>
    </comment>
    <comment ref="B2" authorId="0">
      <text>
        <r>
          <rPr>
            <b/>
            <sz val="9"/>
            <rFont val="Times New Roman"/>
            <family val="1"/>
          </rPr>
          <t>MUST NOT BE EMPTY</t>
        </r>
      </text>
    </comment>
    <comment ref="C2" authorId="0">
      <text>
        <r>
          <rPr>
            <b/>
            <sz val="9"/>
            <rFont val="Times New Roman"/>
            <family val="1"/>
          </rPr>
          <t xml:space="preserve">Names should not exist in database
</t>
        </r>
        <r>
          <rPr>
            <b/>
            <sz val="9"/>
            <rFont val="Times New Roman"/>
            <family val="1"/>
          </rPr>
          <t>MUST NOT BE EMPTY</t>
        </r>
      </text>
    </comment>
    <comment ref="N2" authorId="0">
      <text>
        <r>
          <rPr>
            <b/>
            <sz val="9"/>
            <rFont val="Times New Roman"/>
            <family val="1"/>
          </rPr>
          <t xml:space="preserve">Values :
0 = No
1 = Yes
</t>
        </r>
      </text>
    </comment>
    <comment ref="O2" authorId="0">
      <text>
        <r>
          <rPr>
            <b/>
            <sz val="9"/>
            <rFont val="Times New Roman"/>
            <family val="1"/>
          </rPr>
          <t xml:space="preserve">Values :
0 = No
1 = Yes
</t>
        </r>
      </text>
    </comment>
    <comment ref="P2" authorId="0">
      <text>
        <r>
          <rPr>
            <b/>
            <sz val="9"/>
            <rFont val="Times New Roman"/>
            <family val="1"/>
          </rPr>
          <t xml:space="preserve">Values :
0 = No
1 = Yes
</t>
        </r>
      </text>
    </comment>
    <comment ref="Q2" authorId="0">
      <text>
        <r>
          <rPr>
            <b/>
            <sz val="9"/>
            <rFont val="Times New Roman"/>
            <family val="1"/>
          </rPr>
          <t xml:space="preserve">Values :
0 = No
1 = Yes
</t>
        </r>
      </text>
    </comment>
    <comment ref="R2" authorId="0">
      <text>
        <r>
          <rPr>
            <b/>
            <sz val="9"/>
            <rFont val="Times New Roman"/>
            <family val="1"/>
          </rPr>
          <t xml:space="preserve">Values :
0 = No
1 = Yes
</t>
        </r>
      </text>
    </comment>
    <comment ref="S2" authorId="0">
      <text>
        <r>
          <rPr>
            <b/>
            <sz val="9"/>
            <rFont val="Times New Roman"/>
            <family val="1"/>
          </rPr>
          <t xml:space="preserve">Values :
0 = No
1 = Yes
</t>
        </r>
      </text>
    </comment>
    <comment ref="T2" authorId="0">
      <text>
        <r>
          <rPr>
            <b/>
            <sz val="9"/>
            <rFont val="Times New Roman"/>
            <family val="1"/>
          </rPr>
          <t xml:space="preserve">Values :
0 = No
1 = Yes
</t>
        </r>
      </text>
    </comment>
    <comment ref="U2" authorId="0">
      <text>
        <r>
          <rPr>
            <b/>
            <sz val="9"/>
            <rFont val="Times New Roman"/>
            <family val="1"/>
          </rPr>
          <t xml:space="preserve">Values :
0 = No
1 = Yes
</t>
        </r>
      </text>
    </comment>
    <comment ref="V2" authorId="0">
      <text>
        <r>
          <rPr>
            <b/>
            <sz val="9"/>
            <rFont val="Times New Roman"/>
            <family val="1"/>
          </rPr>
          <t xml:space="preserve">Values :
0 = No
1 = Yes
</t>
        </r>
      </text>
    </comment>
    <comment ref="W2" authorId="0">
      <text>
        <r>
          <rPr>
            <b/>
            <sz val="9"/>
            <rFont val="Times New Roman"/>
            <family val="1"/>
          </rPr>
          <t xml:space="preserve">Values :
0 = No
1 = Yes
</t>
        </r>
      </text>
    </comment>
    <comment ref="X2" authorId="0">
      <text>
        <r>
          <rPr>
            <b/>
            <sz val="9"/>
            <rFont val="Times New Roman"/>
            <family val="1"/>
          </rPr>
          <t xml:space="preserve">Values :
</t>
        </r>
        <r>
          <rPr>
            <b/>
            <sz val="9"/>
            <rFont val="Times New Roman"/>
            <family val="1"/>
          </rPr>
          <t>0 = No
1 = Yes</t>
        </r>
      </text>
    </comment>
  </commentList>
</comments>
</file>

<file path=xl/sharedStrings.xml><?xml version="1.0" encoding="utf-8"?>
<sst xmlns="http://schemas.openxmlformats.org/spreadsheetml/2006/main" count="721" uniqueCount="378">
  <si>
    <t>Item</t>
  </si>
  <si>
    <t>HSCode</t>
  </si>
  <si>
    <t>Unit</t>
  </si>
  <si>
    <t>Size</t>
  </si>
  <si>
    <t>Color</t>
  </si>
  <si>
    <t>Grade</t>
  </si>
  <si>
    <t>Company</t>
  </si>
  <si>
    <t>Specification</t>
  </si>
  <si>
    <t>SD</t>
  </si>
  <si>
    <t>VAT</t>
  </si>
  <si>
    <t>Quantity</t>
  </si>
  <si>
    <t>Unit_Price</t>
  </si>
  <si>
    <t>SD_Amount</t>
  </si>
  <si>
    <t>VAT_Amount</t>
  </si>
  <si>
    <t>Other_Cost</t>
  </si>
  <si>
    <t>Total_Tax</t>
  </si>
  <si>
    <t>Total_Price</t>
  </si>
  <si>
    <t>Remarks</t>
  </si>
  <si>
    <t>HEAD LIGHTS</t>
  </si>
  <si>
    <t>12.12.00</t>
  </si>
  <si>
    <t>PC</t>
  </si>
  <si>
    <t>BLUE</t>
  </si>
  <si>
    <t>A</t>
  </si>
  <si>
    <t>BEXIMCO</t>
  </si>
  <si>
    <t>Test Data</t>
  </si>
  <si>
    <t>BACK LIGHT</t>
  </si>
  <si>
    <t>12.12.01</t>
  </si>
  <si>
    <t>B</t>
  </si>
  <si>
    <t>Square</t>
  </si>
  <si>
    <t>MOTORCYCLE ENGINEEEE</t>
  </si>
  <si>
    <t>12.12.03</t>
  </si>
  <si>
    <t>MOTORCYCLE WHEEL</t>
  </si>
  <si>
    <t>12.12.04</t>
  </si>
  <si>
    <t>CD</t>
  </si>
  <si>
    <t>RD</t>
  </si>
  <si>
    <t>AT</t>
  </si>
  <si>
    <t>AIT</t>
  </si>
  <si>
    <t>ATV</t>
  </si>
  <si>
    <t>TTI</t>
  </si>
  <si>
    <t>CD_Amount</t>
  </si>
  <si>
    <t>RD_Amount</t>
  </si>
  <si>
    <t>AT_Amount</t>
  </si>
  <si>
    <t>AIT_Amount</t>
  </si>
  <si>
    <t>ATV_Amount</t>
  </si>
  <si>
    <t>TTI_Amount</t>
  </si>
  <si>
    <t>Document_Processing_Fee</t>
  </si>
  <si>
    <t>PSI</t>
  </si>
  <si>
    <t>CnF_Vat</t>
  </si>
  <si>
    <t>CnF_Income_Tax</t>
  </si>
  <si>
    <t>CYTRIC ACID</t>
  </si>
  <si>
    <t>TransPartyName</t>
  </si>
  <si>
    <t>PartAddress</t>
  </si>
  <si>
    <t>PartyBIN</t>
  </si>
  <si>
    <t>Phone</t>
  </si>
  <si>
    <t>Email</t>
  </si>
  <si>
    <t>WebAddress</t>
  </si>
  <si>
    <t>UltimateDesignation</t>
  </si>
  <si>
    <t>OwnerName</t>
  </si>
  <si>
    <t>IsVDS</t>
  </si>
  <si>
    <t>VdsInfo</t>
  </si>
  <si>
    <t>RegistraionType</t>
  </si>
  <si>
    <t>nationalIdNo</t>
  </si>
  <si>
    <t>PartyTIN</t>
  </si>
  <si>
    <t>isExciseDuty</t>
  </si>
  <si>
    <t>isDevelopmentSurcharge</t>
  </si>
  <si>
    <t>isInformationTechnology</t>
  </si>
  <si>
    <t>isHealthSafety</t>
  </si>
  <si>
    <t>isEnvironmentSafety</t>
  </si>
  <si>
    <t>EconomicProcess</t>
  </si>
  <si>
    <t>BusinessInformation</t>
  </si>
  <si>
    <t>AreaOfManufacturingInfo</t>
  </si>
  <si>
    <t>IsVendor</t>
  </si>
  <si>
    <t>IsCustomer</t>
  </si>
  <si>
    <t>Web</t>
  </si>
  <si>
    <t>Owner Name</t>
  </si>
  <si>
    <t>VDS</t>
  </si>
  <si>
    <t>Registration Type</t>
  </si>
  <si>
    <t>NID No</t>
  </si>
  <si>
    <t>TIN No</t>
  </si>
  <si>
    <t>Is Excise Duty</t>
  </si>
  <si>
    <t>Is Development Surcharge</t>
  </si>
  <si>
    <t>Is Information Technology</t>
  </si>
  <si>
    <t>Is Health Safety</t>
  </si>
  <si>
    <t>Is Environment Safety</t>
  </si>
  <si>
    <t>Business Info</t>
  </si>
  <si>
    <t>Area Of Manufacturing</t>
  </si>
  <si>
    <t>Is Vendor</t>
  </si>
  <si>
    <t>Is Customer</t>
  </si>
  <si>
    <t>Item_Name</t>
  </si>
  <si>
    <t>Unit_Code</t>
  </si>
  <si>
    <t>VAT_Rate</t>
  </si>
  <si>
    <t>SD_Rate</t>
  </si>
  <si>
    <t>Vat_Amount</t>
  </si>
  <si>
    <t>Test Excel Data Loading</t>
  </si>
  <si>
    <t>Category</t>
  </si>
  <si>
    <t>Sub_category</t>
  </si>
  <si>
    <t>ItemName</t>
  </si>
  <si>
    <t>ItemSpecification</t>
  </si>
  <si>
    <t>brandName</t>
  </si>
  <si>
    <t>Item_type</t>
  </si>
  <si>
    <t>Product_type</t>
  </si>
  <si>
    <t>Measurement_type</t>
  </si>
  <si>
    <t>HsHeading</t>
  </si>
  <si>
    <t>HsSuffix</t>
  </si>
  <si>
    <t>HsCode</t>
  </si>
  <si>
    <t>ModelNo</t>
  </si>
  <si>
    <t>Exempted</t>
  </si>
  <si>
    <t>Truncated</t>
  </si>
  <si>
    <t>Tarrif</t>
  </si>
  <si>
    <t>ExpiryDateRequired</t>
  </si>
  <si>
    <t>ZeroRate</t>
  </si>
  <si>
    <t>Mrp</t>
  </si>
  <si>
    <t>SKU</t>
  </si>
  <si>
    <t>CreditLimit</t>
  </si>
  <si>
    <t>Credit Limit</t>
  </si>
  <si>
    <t>Rebatable</t>
  </si>
  <si>
    <t>VatRebate</t>
  </si>
  <si>
    <t>CategoryName</t>
  </si>
  <si>
    <t>ITEM_NAME</t>
  </si>
  <si>
    <t>item_qty</t>
  </si>
  <si>
    <t>item_value</t>
  </si>
  <si>
    <t>opening_balance_date</t>
  </si>
  <si>
    <t>উপকরণ/কাঁচামাল</t>
  </si>
  <si>
    <t>মজুদ</t>
  </si>
  <si>
    <t>গ্রস ব্যবহার</t>
  </si>
  <si>
    <t>অপচয় %</t>
  </si>
  <si>
    <t>অপচয়</t>
  </si>
  <si>
    <t>নীট ব্যবহার</t>
  </si>
  <si>
    <t>চালান পরিমান (উপকরণের একক)</t>
  </si>
  <si>
    <t>চালান মূল্য</t>
  </si>
  <si>
    <t>উৎপাদন সংখ্যা</t>
  </si>
  <si>
    <t>মূল্য</t>
  </si>
  <si>
    <t>চালান সূত্র</t>
  </si>
  <si>
    <t>মন্তব্য</t>
  </si>
  <si>
    <t>Stock</t>
  </si>
  <si>
    <t>GrossUsages</t>
  </si>
  <si>
    <t>WastagePercent</t>
  </si>
  <si>
    <t>Wastage</t>
  </si>
  <si>
    <t>NeatUsages</t>
  </si>
  <si>
    <t>ShipmentQuantity</t>
  </si>
  <si>
    <t>ShipmentCost</t>
  </si>
  <si>
    <t>NumberOfProduction</t>
  </si>
  <si>
    <t>Cost</t>
  </si>
  <si>
    <t>ShipmentReference</t>
  </si>
  <si>
    <t>একক (গ্রস ব্যবহার)</t>
  </si>
  <si>
    <t>GrossUsagesUnit</t>
  </si>
  <si>
    <t>Marketing And Selling Expenses</t>
  </si>
  <si>
    <t>Repair and Maintenance</t>
  </si>
  <si>
    <t>Selling &amp; Dist. O/H</t>
  </si>
  <si>
    <t>অডিট</t>
  </si>
  <si>
    <t>অন্যান্য</t>
  </si>
  <si>
    <t>অবচয়</t>
  </si>
  <si>
    <t>আইন পরামর্শক</t>
  </si>
  <si>
    <t>ইন্সুরেন্স</t>
  </si>
  <si>
    <t>ইলেক্ট্রিক এবং ফুয়েল</t>
  </si>
  <si>
    <t>উপহার</t>
  </si>
  <si>
    <t>একাউন্টিং ফার্ম</t>
  </si>
  <si>
    <t>পরিবহন</t>
  </si>
  <si>
    <t>প্যাকিং মেটারিয়াল</t>
  </si>
  <si>
    <t>বিক্রয় কমিশন</t>
  </si>
  <si>
    <t>বেতন ভাতা</t>
  </si>
  <si>
    <t>ব্যাংক সুদ</t>
  </si>
  <si>
    <t>মুনাফা</t>
  </si>
  <si>
    <t>H-50, R-11, Block-F, Banani, Dhaka-1213.</t>
  </si>
  <si>
    <t>service</t>
  </si>
  <si>
    <t>IsAllBssUnt</t>
  </si>
  <si>
    <t>CustomerName</t>
  </si>
  <si>
    <t>CustomerAddress</t>
  </si>
  <si>
    <t>WithHoldingEntity</t>
  </si>
  <si>
    <t>AgreementNo</t>
  </si>
  <si>
    <t>BillFrom</t>
  </si>
  <si>
    <t>BillTo</t>
  </si>
  <si>
    <t>UnitPrice</t>
  </si>
  <si>
    <t>CORPORATE PROJUKTI LIMITED</t>
  </si>
  <si>
    <t>YES</t>
  </si>
  <si>
    <t>N/A</t>
  </si>
  <si>
    <t>NO</t>
  </si>
  <si>
    <t>INTERNET BANDWIDTH</t>
  </si>
  <si>
    <t>S012.14</t>
  </si>
  <si>
    <t>MBPS</t>
  </si>
  <si>
    <t>ERA COMPANY LTD.</t>
  </si>
  <si>
    <t>Dhanmondi, Dhaka</t>
  </si>
  <si>
    <t>RUDRA COMPANY LTD.</t>
  </si>
  <si>
    <t>Dhaka</t>
  </si>
  <si>
    <t>ARINA</t>
  </si>
  <si>
    <t>sanghai,china</t>
  </si>
  <si>
    <t>ANONG</t>
  </si>
  <si>
    <t>Suzhou, China</t>
  </si>
  <si>
    <t>RIPANGEL COMPANY LTD.</t>
  </si>
  <si>
    <t>FARUK COMPANY</t>
  </si>
  <si>
    <t>SABBIR &amp; BROTHERS COMPANY LTD</t>
  </si>
  <si>
    <t>Panthapath</t>
  </si>
  <si>
    <t>National Board of Revenue</t>
  </si>
  <si>
    <t>ANIS LTD</t>
  </si>
  <si>
    <t>SAFE HANDS GUARDS LIMITED</t>
  </si>
  <si>
    <t>INTERCLOUD LIMITED</t>
  </si>
  <si>
    <t>LEXGYA ENTERPRISE</t>
  </si>
  <si>
    <t>ABIR ENTERPRISE</t>
  </si>
  <si>
    <t>104, Capital market Green Road, Farmgate, Dhaka-1215.</t>
  </si>
  <si>
    <t>ROBI AXIATA LTD.</t>
  </si>
  <si>
    <t>53, Gulshan south Avenue, Gulshan-1, Dhaka-1212.</t>
  </si>
  <si>
    <t>SCB ACCOUNTS PAYABLE LTD.</t>
  </si>
  <si>
    <t>BANGLADESH COMPUTER COUNCIL (BCC)</t>
  </si>
  <si>
    <t>MUTANT</t>
  </si>
  <si>
    <t>GLOBAL VILLAGE</t>
  </si>
  <si>
    <t>Janata Housing</t>
  </si>
  <si>
    <t>BRISK</t>
  </si>
  <si>
    <t>ZAMAN WASIF</t>
  </si>
  <si>
    <t>ONLY VENDOR</t>
  </si>
  <si>
    <t>Kolabagan, Dhaka-1200</t>
  </si>
  <si>
    <t>ONLY CUSTOMER</t>
  </si>
  <si>
    <t>ONLY VENDOR 002</t>
  </si>
  <si>
    <t>ONLY CUSTOMER 002</t>
  </si>
  <si>
    <t>WZ SUNAN</t>
  </si>
  <si>
    <t>Uposhahar B-535</t>
  </si>
  <si>
    <t>NOT REGISTERED FOR SALE</t>
  </si>
  <si>
    <t>REGISTERED ONLY FOR SALE</t>
  </si>
  <si>
    <t>WR</t>
  </si>
  <si>
    <t>gram</t>
  </si>
  <si>
    <t>Service</t>
  </si>
  <si>
    <t>display 3.5"</t>
  </si>
  <si>
    <t>Party Name</t>
  </si>
  <si>
    <t>Party Address</t>
  </si>
  <si>
    <t>Party BIN</t>
  </si>
  <si>
    <t>Phone/Mobile</t>
  </si>
  <si>
    <t>Ultimate Destination</t>
  </si>
  <si>
    <t>Is VDS Deducted</t>
  </si>
  <si>
    <t>purchase_type</t>
  </si>
  <si>
    <t>Local</t>
  </si>
  <si>
    <t>Import</t>
  </si>
  <si>
    <t>EXCEL INPUT 8</t>
  </si>
  <si>
    <t>EXCEL INPUT 9</t>
  </si>
  <si>
    <t>EXCEL INPUT 10</t>
  </si>
  <si>
    <t>EXCEL INPUT 11</t>
  </si>
  <si>
    <t>28/04/2020</t>
  </si>
  <si>
    <t>ADIBA</t>
  </si>
  <si>
    <t xml:space="preserve">ইন্সুরেন্স,সি এন্ড এফ কমিশন, এলসি কমিশন </t>
  </si>
  <si>
    <t>Salary &amp; Allowance</t>
  </si>
  <si>
    <t>Research &amp; Development Cost</t>
  </si>
  <si>
    <t>Label/Sticker</t>
  </si>
  <si>
    <t>প্রশাসিক খরচ</t>
  </si>
  <si>
    <t>কেমিক্যালস</t>
  </si>
  <si>
    <t>ষ্টেশনারী</t>
  </si>
  <si>
    <t>অ্যাপ্যায়ন</t>
  </si>
  <si>
    <t>ভ্রমণ</t>
  </si>
  <si>
    <t>Factory Overhead</t>
  </si>
  <si>
    <t>Depreciation</t>
  </si>
  <si>
    <t>গ্যাস</t>
  </si>
  <si>
    <t>বিদ্যুৎ</t>
  </si>
  <si>
    <t>বিজ্ঞাপন</t>
  </si>
  <si>
    <t>সি এন্ড এফ কমিশন</t>
  </si>
  <si>
    <t>এলসি</t>
  </si>
  <si>
    <t>বীমা</t>
  </si>
  <si>
    <t>টেলিফোন</t>
  </si>
  <si>
    <t>যন্ত্রাংশ ও অন্যান্য</t>
  </si>
  <si>
    <t>পানি</t>
  </si>
  <si>
    <t>ফ্যাক্স</t>
  </si>
  <si>
    <t>ইন্টারনেট</t>
  </si>
  <si>
    <t>প্যাকেজিং</t>
  </si>
  <si>
    <t>C &amp; F</t>
  </si>
  <si>
    <t>Insurance</t>
  </si>
  <si>
    <t>Port Authority</t>
  </si>
  <si>
    <t>Global Taxes</t>
  </si>
  <si>
    <t>Transport</t>
  </si>
  <si>
    <t>Fuel</t>
  </si>
  <si>
    <t>StockUnit</t>
  </si>
  <si>
    <t>একক(মজুদ)</t>
  </si>
  <si>
    <t>ShipmentQuantityUnit</t>
  </si>
  <si>
    <t>একক(চালান পরিমান)</t>
  </si>
  <si>
    <t xml:space="preserve">Private Limited </t>
  </si>
  <si>
    <t>Pieces</t>
  </si>
  <si>
    <t>Excel Input 10a</t>
  </si>
  <si>
    <t>Excel Input 11a</t>
  </si>
  <si>
    <t>Dhaka.</t>
  </si>
  <si>
    <t>Not Registered</t>
  </si>
  <si>
    <t>Exports</t>
  </si>
  <si>
    <t>00</t>
  </si>
  <si>
    <t>Major Area of Economic Activities</t>
  </si>
  <si>
    <t>IsApplicableForHealthCareSurcharge</t>
  </si>
  <si>
    <t>IsHCS</t>
  </si>
  <si>
    <t>IsApplicableForPriceDeclaration</t>
  </si>
  <si>
    <t>IsPriceDec</t>
  </si>
  <si>
    <t>Property1</t>
  </si>
  <si>
    <t>Property2</t>
  </si>
  <si>
    <t>Property3</t>
  </si>
  <si>
    <t>Property4</t>
  </si>
  <si>
    <t>Property5</t>
  </si>
  <si>
    <t>propertyName1</t>
  </si>
  <si>
    <t>propertyName2</t>
  </si>
  <si>
    <t>propertyName3</t>
  </si>
  <si>
    <t>propertyName4</t>
  </si>
  <si>
    <t>propertyName5</t>
  </si>
  <si>
    <t>ITES</t>
  </si>
  <si>
    <t>S0.99</t>
  </si>
  <si>
    <t>Job</t>
  </si>
  <si>
    <t>Inercloud Limited</t>
  </si>
  <si>
    <t xml:space="preserve">Germany </t>
  </si>
  <si>
    <t>International Organization</t>
  </si>
  <si>
    <t>Dangladesh, Dhaka</t>
  </si>
  <si>
    <t>003568945-0012</t>
  </si>
  <si>
    <t>Regular Registered (VAT)</t>
  </si>
  <si>
    <t>Delta Technology System</t>
  </si>
  <si>
    <t>Banani, Dhaka</t>
  </si>
  <si>
    <t>362526459-0013</t>
  </si>
  <si>
    <t>Dhanmondi</t>
  </si>
  <si>
    <t>000321245-0110</t>
  </si>
  <si>
    <t>Retail,Whole sale</t>
  </si>
  <si>
    <t>362526459-0014</t>
  </si>
  <si>
    <t>Safe Hands Guards Limited BD</t>
  </si>
  <si>
    <t>Unicol Bangladesh BD</t>
  </si>
  <si>
    <t>Abir Enterprise BD</t>
  </si>
  <si>
    <t>123564987-2236</t>
  </si>
  <si>
    <t>Huawei International Pet Ltd.1</t>
  </si>
  <si>
    <t>Security Service</t>
  </si>
  <si>
    <t>S0.40</t>
  </si>
  <si>
    <t>IT Suppor and Software</t>
  </si>
  <si>
    <t>Design Service</t>
  </si>
  <si>
    <t>Network</t>
  </si>
  <si>
    <t>Antena for Base Station</t>
  </si>
  <si>
    <t>Goods</t>
  </si>
  <si>
    <t>Statistical Package Software</t>
  </si>
  <si>
    <t>is_source_tax_deduct</t>
  </si>
  <si>
    <t>is_exempted</t>
  </si>
  <si>
    <t>is_rebatable</t>
  </si>
  <si>
    <t>is_zero_rate</t>
  </si>
  <si>
    <t>is_inexplicit_export</t>
  </si>
  <si>
    <t>is_fixed_vat</t>
  </si>
  <si>
    <t>is_truncated</t>
  </si>
  <si>
    <t>is_mrp</t>
  </si>
  <si>
    <t>net_bill</t>
  </si>
  <si>
    <t>discount_pct</t>
  </si>
  <si>
    <t>discount_amt</t>
  </si>
  <si>
    <t>batch_no</t>
  </si>
  <si>
    <t>ait</t>
  </si>
  <si>
    <t>property_quantity</t>
  </si>
  <si>
    <t>sale_quantity</t>
  </si>
  <si>
    <t>sale_unit</t>
  </si>
  <si>
    <t>health_surcharge</t>
  </si>
  <si>
    <t>item_serials</t>
  </si>
  <si>
    <t>property_id1</t>
  </si>
  <si>
    <t>property_id2</t>
  </si>
  <si>
    <t>property_id3</t>
  </si>
  <si>
    <t>property_id4</t>
  </si>
  <si>
    <t>property_id5</t>
  </si>
  <si>
    <t>challan_no</t>
  </si>
  <si>
    <t>cash_amount</t>
  </si>
  <si>
    <t>bank_amount</t>
  </si>
  <si>
    <t>credit_amount</t>
  </si>
  <si>
    <t>is_payment_finished</t>
  </si>
  <si>
    <t>actual_price</t>
  </si>
  <si>
    <t>HS Code</t>
  </si>
  <si>
    <t>Unit Price</t>
  </si>
  <si>
    <t>Vat</t>
  </si>
  <si>
    <t>Price(Inc. VAT)</t>
  </si>
  <si>
    <t>Zero Rate</t>
  </si>
  <si>
    <t>Fixed VAT</t>
  </si>
  <si>
    <t>Reduced</t>
  </si>
  <si>
    <t>MRP</t>
  </si>
  <si>
    <t>propertyid1</t>
  </si>
  <si>
    <t>propertyid2</t>
  </si>
  <si>
    <t>propertyid4</t>
  </si>
  <si>
    <t>propertyid3</t>
  </si>
  <si>
    <t>propertyid5</t>
  </si>
  <si>
    <t>DO/Challan No 6.3</t>
  </si>
  <si>
    <t>Batch No</t>
  </si>
  <si>
    <t>Dis. Amt</t>
  </si>
  <si>
    <t>Dis.(%) </t>
  </si>
  <si>
    <t>Price</t>
  </si>
  <si>
    <t xml:space="preserve">Paid Amount </t>
  </si>
  <si>
    <t>Abir enterprise</t>
  </si>
  <si>
    <t>Pepsi</t>
  </si>
  <si>
    <t>bottol</t>
  </si>
  <si>
    <t>Party_Name</t>
  </si>
  <si>
    <t>Transaction_Type</t>
  </si>
  <si>
    <t>HS_Code</t>
  </si>
  <si>
    <t>Challan_No</t>
  </si>
  <si>
    <t>Challan_Date</t>
  </si>
  <si>
    <t>Price_ including VAT</t>
  </si>
</sst>
</file>

<file path=xl/styles.xml><?xml version="1.0" encoding="utf-8"?>
<styleSheet xmlns="http://schemas.openxmlformats.org/spreadsheetml/2006/main">
  <numFmts count="3">
    <numFmt numFmtId="44" formatCode="_(&quot;$&quot;* #,##0.00_);_(&quot;$&quot;* \(#,##0.00\);_(&quot;$&quot;* &quot;-&quot;??_);_(@_)"/>
    <numFmt numFmtId="176" formatCode="0;[Red]0"/>
    <numFmt numFmtId="182" formatCode="0.00;[Red]0.00"/>
  </numFmts>
  <fonts count="26">
    <font>
      <sz val="11"/>
      <color theme="1"/>
      <name val="Calibri"/>
      <family val="2"/>
      <scheme val="minor"/>
    </font>
    <font>
      <b/>
      <sz val="9"/>
      <name val="Tahoma"/>
      <family val="2"/>
    </font>
    <font>
      <sz val="9"/>
      <name val="Times New Roman"/>
      <family val="1"/>
    </font>
    <font>
      <b/>
      <sz val="9"/>
      <name val="Times New Roman"/>
      <family val="1"/>
    </font>
    <font>
      <sz val="9"/>
      <color indexed="81"/>
      <name val="Tahoma"/>
      <charset val="1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.5"/>
      <color rgb="FF333333"/>
      <name val="Helvetica"/>
      <family val="2"/>
    </font>
    <font>
      <b/>
      <sz val="12"/>
      <color theme="0" tint="-4.9989318521683403E-2"/>
      <name val="Calibri"/>
      <family val="2"/>
      <scheme val="minor"/>
    </font>
    <font>
      <sz val="11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theme="1"/>
      <name val="Montserrat"/>
    </font>
    <font>
      <sz val="11"/>
      <color theme="1"/>
      <name val="Montserrat"/>
      <family val="2"/>
    </font>
    <font>
      <sz val="9.8000000000000007"/>
      <color rgb="FF6A8759"/>
      <name val="Nirmala UI"/>
      <family val="2"/>
    </font>
    <font>
      <sz val="9"/>
      <color rgb="FF222222"/>
      <name val="Consolas"/>
      <family val="3"/>
    </font>
    <font>
      <sz val="11"/>
      <color rgb="FF6A8759"/>
      <name val="Nirmala UI"/>
      <family val="2"/>
    </font>
    <font>
      <sz val="12"/>
      <color rgb="FF6A8759"/>
      <name val="Nirmala UI"/>
      <family val="2"/>
    </font>
    <font>
      <sz val="10.5"/>
      <color theme="0"/>
      <name val="Helvetica"/>
      <family val="2"/>
    </font>
    <font>
      <b/>
      <sz val="11"/>
      <color rgb="FF3F3F76"/>
      <name val="Calibri"/>
      <family val="2"/>
      <scheme val="minor"/>
    </font>
    <font>
      <b/>
      <sz val="11"/>
      <color rgb="FF333333"/>
      <name val="Arial"/>
      <family val="2"/>
    </font>
    <font>
      <sz val="11"/>
      <color rgb="FF333333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737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rgb="FF808080"/>
      </left>
      <right style="medium">
        <color rgb="FF808080"/>
      </right>
      <top style="medium">
        <color rgb="FF808080"/>
      </top>
      <bottom style="medium">
        <color rgb="FF80808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rgb="FF7F7F7F"/>
      </left>
      <right style="thin">
        <color rgb="FF7F7F7F"/>
      </right>
      <top/>
      <bottom/>
      <diagonal/>
    </border>
  </borders>
  <cellStyleXfs count="4">
    <xf numFmtId="0" fontId="0" fillId="0" borderId="0"/>
    <xf numFmtId="44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6" borderId="7" applyNumberFormat="0" applyAlignment="0" applyProtection="0"/>
  </cellStyleXfs>
  <cellXfs count="82">
    <xf numFmtId="0" fontId="0" fillId="0" borderId="0" xfId="0"/>
    <xf numFmtId="0" fontId="12" fillId="7" borderId="8" xfId="0" applyFont="1" applyFill="1" applyBorder="1" applyAlignment="1">
      <alignment wrapText="1"/>
    </xf>
    <xf numFmtId="0" fontId="0" fillId="0" borderId="0" xfId="0" applyFont="1"/>
    <xf numFmtId="0" fontId="0" fillId="8" borderId="1" xfId="0" applyFont="1" applyFill="1" applyBorder="1"/>
    <xf numFmtId="0" fontId="13" fillId="9" borderId="0" xfId="0" applyFont="1" applyFill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Font="1" applyFill="1" applyBorder="1"/>
    <xf numFmtId="0" fontId="0" fillId="8" borderId="2" xfId="0" applyFont="1" applyFill="1" applyBorder="1"/>
    <xf numFmtId="182" fontId="6" fillId="0" borderId="0" xfId="1" applyNumberFormat="1" applyFont="1" applyAlignment="1">
      <alignment vertical="center" wrapText="1"/>
    </xf>
    <xf numFmtId="0" fontId="8" fillId="4" borderId="0" xfId="0" applyFont="1" applyFill="1" applyAlignment="1">
      <alignment horizontal="center"/>
    </xf>
    <xf numFmtId="14" fontId="0" fillId="0" borderId="0" xfId="0" applyNumberFormat="1"/>
    <xf numFmtId="0" fontId="0" fillId="5" borderId="3" xfId="0" applyFont="1" applyFill="1" applyBorder="1" applyAlignment="1">
      <alignment horizontal="center"/>
    </xf>
    <xf numFmtId="0" fontId="0" fillId="10" borderId="0" xfId="0" applyFill="1" applyAlignment="1">
      <alignment horizontal="center"/>
    </xf>
    <xf numFmtId="0" fontId="0" fillId="0" borderId="0" xfId="0" applyAlignment="1">
      <alignment horizontal="center"/>
    </xf>
    <xf numFmtId="0" fontId="14" fillId="10" borderId="0" xfId="0" applyFont="1" applyFill="1"/>
    <xf numFmtId="0" fontId="11" fillId="5" borderId="0" xfId="0" applyFont="1" applyFill="1" applyAlignment="1">
      <alignment horizontal="center"/>
    </xf>
    <xf numFmtId="49" fontId="0" fillId="0" borderId="0" xfId="0" applyNumberFormat="1" applyAlignment="1">
      <alignment vertical="center" wrapText="1"/>
    </xf>
    <xf numFmtId="0" fontId="15" fillId="11" borderId="0" xfId="0" applyFont="1" applyFill="1" applyAlignment="1">
      <alignment horizontal="center" vertical="center" wrapText="1"/>
    </xf>
    <xf numFmtId="0" fontId="0" fillId="5" borderId="4" xfId="0" applyFont="1" applyFill="1" applyBorder="1" applyAlignment="1">
      <alignment horizontal="center" vertical="center" wrapText="1"/>
    </xf>
    <xf numFmtId="0" fontId="0" fillId="5" borderId="5" xfId="0" applyFont="1" applyFill="1" applyBorder="1" applyAlignment="1">
      <alignment horizontal="center" vertical="center" wrapText="1"/>
    </xf>
    <xf numFmtId="0" fontId="0" fillId="5" borderId="6" xfId="0" applyFont="1" applyFill="1" applyBorder="1" applyAlignment="1">
      <alignment horizontal="center" vertical="center" wrapText="1"/>
    </xf>
    <xf numFmtId="0" fontId="0" fillId="12" borderId="0" xfId="0" applyFill="1" applyAlignment="1">
      <alignment vertical="center" wrapText="1"/>
    </xf>
    <xf numFmtId="0" fontId="0" fillId="0" borderId="1" xfId="0" applyBorder="1" applyAlignment="1">
      <alignment vertical="center" wrapText="1"/>
    </xf>
    <xf numFmtId="49" fontId="0" fillId="0" borderId="1" xfId="0" applyNumberFormat="1" applyBorder="1" applyAlignment="1">
      <alignment vertical="center" wrapText="1"/>
    </xf>
    <xf numFmtId="49" fontId="0" fillId="0" borderId="1" xfId="0" applyNumberFormat="1" applyBorder="1"/>
    <xf numFmtId="0" fontId="0" fillId="0" borderId="1" xfId="0" applyBorder="1"/>
    <xf numFmtId="0" fontId="0" fillId="0" borderId="1" xfId="0" applyBorder="1" applyAlignment="1">
      <alignment wrapText="1"/>
    </xf>
    <xf numFmtId="176" fontId="0" fillId="0" borderId="1" xfId="0" applyNumberFormat="1" applyBorder="1" applyAlignment="1">
      <alignment vertical="center" wrapText="1"/>
    </xf>
    <xf numFmtId="182" fontId="6" fillId="0" borderId="1" xfId="1" applyNumberFormat="1" applyFont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5" fillId="0" borderId="10" xfId="0" applyNumberFormat="1" applyFont="1" applyFill="1" applyBorder="1" applyAlignment="1">
      <alignment vertical="center"/>
    </xf>
    <xf numFmtId="0" fontId="13" fillId="9" borderId="10" xfId="0" applyFont="1" applyFill="1" applyBorder="1" applyAlignment="1">
      <alignment horizontal="center" vertical="center" wrapText="1"/>
    </xf>
    <xf numFmtId="49" fontId="13" fillId="9" borderId="10" xfId="0" applyNumberFormat="1" applyFont="1" applyFill="1" applyBorder="1" applyAlignment="1">
      <alignment horizontal="center" vertical="center" wrapText="1"/>
    </xf>
    <xf numFmtId="0" fontId="15" fillId="11" borderId="10" xfId="3" applyFont="1" applyFill="1" applyBorder="1" applyAlignment="1">
      <alignment horizontal="center" vertical="center" wrapText="1"/>
    </xf>
    <xf numFmtId="49" fontId="15" fillId="11" borderId="10" xfId="3" applyNumberFormat="1" applyFont="1" applyFill="1" applyBorder="1" applyAlignment="1">
      <alignment horizontal="center" vertical="center" wrapText="1"/>
    </xf>
    <xf numFmtId="0" fontId="15" fillId="11" borderId="10" xfId="0" applyFont="1" applyFill="1" applyBorder="1" applyAlignment="1">
      <alignment horizontal="center" vertical="center" wrapText="1"/>
    </xf>
    <xf numFmtId="0" fontId="5" fillId="0" borderId="10" xfId="0" applyNumberFormat="1" applyFont="1" applyFill="1" applyBorder="1" applyAlignment="1">
      <alignment horizontal="center" vertical="center"/>
    </xf>
    <xf numFmtId="0" fontId="0" fillId="12" borderId="10" xfId="0" applyFill="1" applyBorder="1" applyAlignment="1">
      <alignment vertical="center" wrapText="1"/>
    </xf>
    <xf numFmtId="49" fontId="14" fillId="0" borderId="10" xfId="0" applyNumberFormat="1" applyFont="1" applyFill="1" applyBorder="1" applyAlignment="1">
      <alignment horizontal="left"/>
    </xf>
    <xf numFmtId="49" fontId="0" fillId="12" borderId="10" xfId="0" applyNumberFormat="1" applyFill="1" applyBorder="1" applyAlignment="1">
      <alignment vertical="center" wrapText="1"/>
    </xf>
    <xf numFmtId="49" fontId="14" fillId="0" borderId="10" xfId="0" applyNumberFormat="1" applyFont="1" applyFill="1" applyBorder="1" applyAlignment="1">
      <alignment horizontal="center"/>
    </xf>
    <xf numFmtId="0" fontId="5" fillId="0" borderId="10" xfId="0" applyFont="1" applyFill="1" applyBorder="1" applyAlignment="1">
      <alignment horizontal="left" vertical="center"/>
    </xf>
    <xf numFmtId="49" fontId="16" fillId="12" borderId="10" xfId="0" applyNumberFormat="1" applyFont="1" applyFill="1" applyBorder="1" applyAlignment="1">
      <alignment horizontal="center" vertical="center" wrapText="1"/>
    </xf>
    <xf numFmtId="0" fontId="17" fillId="12" borderId="10" xfId="0" applyFont="1" applyFill="1" applyBorder="1" applyAlignment="1">
      <alignment vertical="center" wrapText="1"/>
    </xf>
    <xf numFmtId="0" fontId="9" fillId="12" borderId="10" xfId="2" applyFill="1" applyBorder="1" applyAlignment="1">
      <alignment wrapText="1"/>
    </xf>
    <xf numFmtId="182" fontId="6" fillId="12" borderId="10" xfId="1" applyNumberFormat="1" applyFont="1" applyFill="1" applyBorder="1" applyAlignment="1">
      <alignment vertical="center" wrapText="1"/>
    </xf>
    <xf numFmtId="0" fontId="18" fillId="12" borderId="10" xfId="0" applyFont="1" applyFill="1" applyBorder="1" applyAlignment="1">
      <alignment wrapText="1"/>
    </xf>
    <xf numFmtId="0" fontId="0" fillId="12" borderId="10" xfId="0" applyFill="1" applyBorder="1"/>
    <xf numFmtId="0" fontId="5" fillId="12" borderId="10" xfId="0" applyFont="1" applyFill="1" applyBorder="1" applyAlignment="1">
      <alignment horizontal="left" vertical="center"/>
    </xf>
    <xf numFmtId="49" fontId="15" fillId="11" borderId="10" xfId="0" applyNumberFormat="1" applyFont="1" applyFill="1" applyBorder="1" applyAlignment="1">
      <alignment horizontal="center" vertical="center" wrapText="1"/>
    </xf>
    <xf numFmtId="0" fontId="19" fillId="0" borderId="0" xfId="0" applyFont="1"/>
    <xf numFmtId="0" fontId="20" fillId="12" borderId="10" xfId="0" applyFont="1" applyFill="1" applyBorder="1" applyAlignment="1">
      <alignment wrapText="1"/>
    </xf>
    <xf numFmtId="0" fontId="21" fillId="12" borderId="10" xfId="0" applyFont="1" applyFill="1" applyBorder="1" applyAlignment="1">
      <alignment wrapText="1"/>
    </xf>
    <xf numFmtId="0" fontId="7" fillId="4" borderId="0" xfId="0" applyFont="1" applyFill="1" applyAlignment="1">
      <alignment horizontal="center" vertical="center" wrapText="1"/>
    </xf>
    <xf numFmtId="0" fontId="22" fillId="4" borderId="0" xfId="0" applyFont="1" applyFill="1" applyAlignment="1">
      <alignment horizontal="center" vertical="center" wrapText="1"/>
    </xf>
    <xf numFmtId="49" fontId="7" fillId="4" borderId="0" xfId="0" applyNumberFormat="1" applyFont="1" applyFill="1" applyAlignment="1">
      <alignment horizontal="center" vertical="center" wrapText="1"/>
    </xf>
    <xf numFmtId="0" fontId="0" fillId="10" borderId="0" xfId="0" applyFill="1" applyAlignment="1">
      <alignment vertical="center" wrapText="1"/>
    </xf>
    <xf numFmtId="49" fontId="0" fillId="10" borderId="0" xfId="0" applyNumberFormat="1" applyFill="1" applyAlignment="1">
      <alignment vertical="center" wrapText="1"/>
    </xf>
    <xf numFmtId="1" fontId="0" fillId="0" borderId="0" xfId="0" applyNumberFormat="1" applyAlignment="1">
      <alignment vertical="center" wrapText="1"/>
    </xf>
    <xf numFmtId="2" fontId="0" fillId="0" borderId="0" xfId="0" applyNumberFormat="1" applyAlignment="1">
      <alignment vertical="center" wrapText="1"/>
    </xf>
    <xf numFmtId="49" fontId="14" fillId="0" borderId="10" xfId="0" applyNumberFormat="1" applyFont="1" applyFill="1" applyBorder="1" applyAlignment="1">
      <alignment horizontal="left" vertical="center"/>
    </xf>
    <xf numFmtId="49" fontId="5" fillId="0" borderId="10" xfId="0" applyNumberFormat="1" applyFont="1" applyFill="1" applyBorder="1" applyAlignment="1">
      <alignment horizontal="center" vertical="center"/>
    </xf>
    <xf numFmtId="49" fontId="14" fillId="0" borderId="10" xfId="0" applyNumberFormat="1" applyFont="1" applyFill="1" applyBorder="1" applyAlignment="1">
      <alignment horizontal="center" vertical="center"/>
    </xf>
    <xf numFmtId="49" fontId="0" fillId="12" borderId="10" xfId="0" applyNumberFormat="1" applyFill="1" applyBorder="1" applyAlignment="1">
      <alignment horizontal="center" vertical="center" wrapText="1"/>
    </xf>
    <xf numFmtId="49" fontId="14" fillId="0" borderId="10" xfId="0" quotePrefix="1" applyNumberFormat="1" applyFont="1" applyFill="1" applyBorder="1" applyAlignment="1">
      <alignment horizontal="center"/>
    </xf>
    <xf numFmtId="49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wrapText="1"/>
    </xf>
    <xf numFmtId="0" fontId="23" fillId="2" borderId="0" xfId="3" applyFont="1" applyFill="1" applyBorder="1" applyAlignment="1">
      <alignment horizontal="center" vertical="center" wrapText="1"/>
    </xf>
    <xf numFmtId="0" fontId="23" fillId="3" borderId="7" xfId="3" applyFont="1" applyFill="1" applyAlignment="1">
      <alignment horizontal="center" vertical="center"/>
    </xf>
    <xf numFmtId="0" fontId="23" fillId="3" borderId="0" xfId="3" applyFont="1" applyFill="1" applyBorder="1" applyAlignment="1">
      <alignment horizontal="center" vertical="center" wrapText="1"/>
    </xf>
    <xf numFmtId="0" fontId="0" fillId="3" borderId="0" xfId="0" applyFill="1"/>
    <xf numFmtId="0" fontId="23" fillId="2" borderId="7" xfId="3" applyFont="1" applyFill="1" applyAlignment="1">
      <alignment horizontal="center" vertical="center"/>
    </xf>
    <xf numFmtId="0" fontId="24" fillId="2" borderId="0" xfId="0" applyFont="1" applyFill="1" applyAlignment="1">
      <alignment horizontal="center" vertical="center"/>
    </xf>
    <xf numFmtId="0" fontId="25" fillId="2" borderId="0" xfId="0" applyFont="1" applyFill="1"/>
    <xf numFmtId="0" fontId="0" fillId="2" borderId="0" xfId="0" applyFill="1"/>
    <xf numFmtId="0" fontId="23" fillId="3" borderId="11" xfId="3" applyFont="1" applyFill="1" applyBorder="1" applyAlignment="1">
      <alignment horizontal="center" vertical="center" wrapText="1"/>
    </xf>
    <xf numFmtId="0" fontId="0" fillId="0" borderId="0" xfId="0" applyAlignment="1">
      <alignment vertical="top" wrapText="1"/>
    </xf>
  </cellXfs>
  <cellStyles count="4">
    <cellStyle name="Currency" xfId="1" builtinId="4"/>
    <cellStyle name="Hyperlink" xfId="2" builtinId="8"/>
    <cellStyle name="Input" xfId="3" builtinId="20"/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R145"/>
  <sheetViews>
    <sheetView topLeftCell="C1" workbookViewId="0">
      <selection activeCell="F15" sqref="F15"/>
    </sheetView>
  </sheetViews>
  <sheetFormatPr defaultColWidth="9" defaultRowHeight="15"/>
  <cols>
    <col min="1" max="1" width="23.7109375" style="2" customWidth="1"/>
    <col min="2" max="2" width="10.140625" style="2" customWidth="1"/>
    <col min="3" max="3" width="5.5703125" style="2" customWidth="1"/>
    <col min="4" max="4" width="7.28515625" style="2" customWidth="1"/>
    <col min="5" max="5" width="6.28515625" style="2" customWidth="1"/>
    <col min="6" max="6" width="9" style="2"/>
    <col min="7" max="7" width="13.42578125" style="2" customWidth="1"/>
    <col min="8" max="8" width="12.7109375" style="2" customWidth="1"/>
    <col min="9" max="9" width="4.140625" style="2" customWidth="1"/>
    <col min="10" max="10" width="4.85546875" style="2" customWidth="1"/>
    <col min="11" max="12" width="9" style="2"/>
    <col min="13" max="13" width="10.42578125" style="2" customWidth="1"/>
    <col min="14" max="14" width="12.42578125" style="2" customWidth="1"/>
    <col min="15" max="15" width="9.7109375" style="2" customWidth="1"/>
    <col min="16" max="16" width="10.42578125" style="2" customWidth="1"/>
    <col min="17" max="17" width="13.7109375" style="2" customWidth="1"/>
    <col min="18" max="18" width="31.140625" style="2" customWidth="1"/>
    <col min="19" max="20" width="10.42578125" style="2" customWidth="1"/>
    <col min="21" max="21" width="10.5703125" style="2" customWidth="1"/>
    <col min="22" max="16384" width="9" style="2"/>
  </cols>
  <sheetData>
    <row r="1" spans="1:18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8" t="s">
        <v>17</v>
      </c>
    </row>
    <row r="2" spans="1:18">
      <c r="A2" s="2" t="s">
        <v>18</v>
      </c>
      <c r="B2" s="2" t="s">
        <v>19</v>
      </c>
      <c r="C2" s="2" t="s">
        <v>20</v>
      </c>
      <c r="D2" s="2">
        <v>16</v>
      </c>
      <c r="E2" s="2" t="s">
        <v>21</v>
      </c>
      <c r="F2" s="2" t="s">
        <v>22</v>
      </c>
      <c r="G2" s="2" t="s">
        <v>23</v>
      </c>
      <c r="I2" s="2">
        <v>10</v>
      </c>
      <c r="J2" s="2">
        <v>12</v>
      </c>
      <c r="K2" s="2">
        <v>300</v>
      </c>
      <c r="L2" s="2">
        <v>800</v>
      </c>
      <c r="M2" s="2">
        <f>K2*L2*I2/100</f>
        <v>24000</v>
      </c>
      <c r="N2" s="2">
        <f>(K2*L2+M2)*J2/100</f>
        <v>31680</v>
      </c>
      <c r="O2" s="2">
        <v>10</v>
      </c>
      <c r="P2" s="2">
        <f>SUM(M2:N2)</f>
        <v>55680</v>
      </c>
      <c r="Q2" s="2">
        <f>K2*L2+O2+P2</f>
        <v>295690</v>
      </c>
      <c r="R2" s="2" t="s">
        <v>24</v>
      </c>
    </row>
    <row r="3" spans="1:18">
      <c r="A3" s="2" t="s">
        <v>25</v>
      </c>
      <c r="B3" s="2" t="s">
        <v>26</v>
      </c>
      <c r="C3" s="2" t="s">
        <v>20</v>
      </c>
      <c r="D3" s="2">
        <v>14</v>
      </c>
      <c r="E3" s="2" t="s">
        <v>21</v>
      </c>
      <c r="F3" s="2" t="s">
        <v>27</v>
      </c>
      <c r="G3" s="2" t="s">
        <v>28</v>
      </c>
      <c r="I3" s="2">
        <v>10</v>
      </c>
      <c r="J3" s="2">
        <v>15</v>
      </c>
      <c r="K3" s="2">
        <v>300</v>
      </c>
      <c r="L3" s="2">
        <v>600</v>
      </c>
      <c r="M3" s="2">
        <f>K3*L3*I3/100</f>
        <v>18000</v>
      </c>
      <c r="N3" s="2">
        <f>(K3*L3+M3)*J3/100</f>
        <v>29700</v>
      </c>
      <c r="O3" s="2">
        <v>10</v>
      </c>
      <c r="P3" s="2">
        <f>SUM(M3:N3)</f>
        <v>47700</v>
      </c>
      <c r="Q3" s="2">
        <f>K3*L3+O3+P3</f>
        <v>227710</v>
      </c>
      <c r="R3" s="2" t="s">
        <v>24</v>
      </c>
    </row>
    <row r="4" spans="1:18">
      <c r="A4" s="2" t="s">
        <v>29</v>
      </c>
      <c r="B4" s="2" t="s">
        <v>30</v>
      </c>
      <c r="C4" s="2" t="s">
        <v>20</v>
      </c>
      <c r="D4" s="2">
        <v>16</v>
      </c>
      <c r="E4" s="2" t="s">
        <v>21</v>
      </c>
      <c r="F4" s="2" t="s">
        <v>22</v>
      </c>
      <c r="G4" s="2" t="s">
        <v>23</v>
      </c>
      <c r="I4" s="2">
        <v>10</v>
      </c>
      <c r="J4" s="2">
        <v>12</v>
      </c>
      <c r="K4" s="2">
        <v>100</v>
      </c>
      <c r="L4" s="2">
        <v>30000</v>
      </c>
      <c r="M4" s="2">
        <f>K4*L4*I4/100</f>
        <v>300000</v>
      </c>
      <c r="N4" s="2">
        <f>(K4*L4+M4)*J4/100</f>
        <v>396000</v>
      </c>
      <c r="O4" s="2">
        <v>10</v>
      </c>
      <c r="P4" s="2">
        <f>SUM(M4:N4)</f>
        <v>696000</v>
      </c>
      <c r="Q4" s="2">
        <f>K4*L4+O4+P4</f>
        <v>3696010</v>
      </c>
      <c r="R4" s="2" t="s">
        <v>24</v>
      </c>
    </row>
    <row r="5" spans="1:18">
      <c r="A5" s="2" t="s">
        <v>31</v>
      </c>
      <c r="B5" s="7" t="s">
        <v>32</v>
      </c>
      <c r="C5" s="2" t="s">
        <v>20</v>
      </c>
      <c r="D5" s="2">
        <v>15</v>
      </c>
      <c r="E5" s="2" t="s">
        <v>21</v>
      </c>
      <c r="F5" s="2" t="s">
        <v>27</v>
      </c>
      <c r="G5" s="2" t="s">
        <v>23</v>
      </c>
      <c r="I5" s="2">
        <v>20</v>
      </c>
      <c r="J5" s="2">
        <v>15</v>
      </c>
      <c r="K5" s="2">
        <v>200</v>
      </c>
      <c r="L5" s="2">
        <v>10000</v>
      </c>
      <c r="M5" s="2">
        <f>K5*L5*I5/100</f>
        <v>400000</v>
      </c>
      <c r="N5" s="2">
        <f>(K5*L5+M5)*J5/100</f>
        <v>360000</v>
      </c>
      <c r="O5" s="2">
        <v>10</v>
      </c>
      <c r="P5" s="2">
        <f>SUM(M5:N5)</f>
        <v>760000</v>
      </c>
      <c r="Q5" s="2">
        <f>K5*L5+O5+P5</f>
        <v>2760010</v>
      </c>
      <c r="R5" s="2" t="s">
        <v>24</v>
      </c>
    </row>
    <row r="9" spans="1:18">
      <c r="B9" s="7"/>
    </row>
    <row r="13" spans="1:18">
      <c r="B13" s="7"/>
    </row>
    <row r="17" spans="2:2">
      <c r="B17" s="7"/>
    </row>
    <row r="21" spans="2:2">
      <c r="B21" s="7"/>
    </row>
    <row r="25" spans="2:2">
      <c r="B25" s="7"/>
    </row>
    <row r="29" spans="2:2">
      <c r="B29" s="7"/>
    </row>
    <row r="33" spans="2:2">
      <c r="B33" s="7"/>
    </row>
    <row r="37" spans="2:2">
      <c r="B37" s="7"/>
    </row>
    <row r="41" spans="2:2">
      <c r="B41" s="7"/>
    </row>
    <row r="45" spans="2:2">
      <c r="B45" s="7"/>
    </row>
    <row r="49" spans="2:2">
      <c r="B49" s="7"/>
    </row>
    <row r="53" spans="2:2">
      <c r="B53" s="7"/>
    </row>
    <row r="57" spans="2:2">
      <c r="B57" s="7"/>
    </row>
    <row r="61" spans="2:2">
      <c r="B61" s="7"/>
    </row>
    <row r="65" spans="2:2">
      <c r="B65" s="7"/>
    </row>
    <row r="69" spans="2:2">
      <c r="B69" s="7"/>
    </row>
    <row r="73" spans="2:2">
      <c r="B73" s="7"/>
    </row>
    <row r="77" spans="2:2">
      <c r="B77" s="7"/>
    </row>
    <row r="81" spans="2:2">
      <c r="B81" s="7"/>
    </row>
    <row r="85" spans="2:2">
      <c r="B85" s="7"/>
    </row>
    <row r="89" spans="2:2">
      <c r="B89" s="7"/>
    </row>
    <row r="93" spans="2:2">
      <c r="B93" s="7"/>
    </row>
    <row r="97" spans="2:2">
      <c r="B97" s="7"/>
    </row>
    <row r="101" spans="2:2">
      <c r="B101" s="7"/>
    </row>
    <row r="105" spans="2:2">
      <c r="B105" s="7"/>
    </row>
    <row r="109" spans="2:2">
      <c r="B109" s="7"/>
    </row>
    <row r="113" spans="2:2">
      <c r="B113" s="7"/>
    </row>
    <row r="117" spans="2:2">
      <c r="B117" s="7"/>
    </row>
    <row r="121" spans="2:2">
      <c r="B121" s="7"/>
    </row>
    <row r="125" spans="2:2">
      <c r="B125" s="7"/>
    </row>
    <row r="129" spans="2:2">
      <c r="B129" s="7"/>
    </row>
    <row r="133" spans="2:2">
      <c r="B133" s="7"/>
    </row>
    <row r="137" spans="2:2">
      <c r="B137" s="7"/>
    </row>
    <row r="141" spans="2:2">
      <c r="B141" s="7"/>
    </row>
    <row r="145" spans="2:2">
      <c r="B145" s="7"/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:AH15"/>
  <sheetViews>
    <sheetView topLeftCell="I1" workbookViewId="0">
      <selection activeCell="O2" sqref="O2"/>
    </sheetView>
  </sheetViews>
  <sheetFormatPr defaultColWidth="9.140625" defaultRowHeight="15"/>
  <cols>
    <col min="1" max="1" width="26.7109375" customWidth="1"/>
    <col min="8" max="8" width="12.5703125" customWidth="1"/>
    <col min="9" max="10" width="6.5703125" customWidth="1"/>
    <col min="11" max="11" width="5.42578125" customWidth="1"/>
    <col min="12" max="12" width="5.5703125" customWidth="1"/>
    <col min="17" max="17" width="10.85546875" customWidth="1"/>
    <col min="18" max="18" width="14.85546875" customWidth="1"/>
    <col min="19" max="20" width="11.85546875" customWidth="1"/>
    <col min="21" max="21" width="13.28515625" customWidth="1"/>
    <col min="22" max="22" width="12.85546875" customWidth="1"/>
    <col min="23" max="23" width="13" customWidth="1"/>
    <col min="24" max="24" width="13.140625" customWidth="1"/>
    <col min="25" max="25" width="14" customWidth="1"/>
    <col min="26" max="26" width="13.7109375" customWidth="1"/>
    <col min="27" max="27" width="25.85546875" customWidth="1"/>
    <col min="28" max="28" width="13.42578125" customWidth="1"/>
    <col min="30" max="30" width="10.28515625" customWidth="1"/>
    <col min="31" max="31" width="17.42578125" customWidth="1"/>
    <col min="32" max="32" width="12.7109375" customWidth="1"/>
    <col min="33" max="33" width="11.85546875" customWidth="1"/>
    <col min="34" max="34" width="10.85546875" customWidth="1"/>
  </cols>
  <sheetData>
    <row r="1" spans="1:34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33</v>
      </c>
      <c r="J1" s="3" t="s">
        <v>34</v>
      </c>
      <c r="K1" s="3" t="s">
        <v>8</v>
      </c>
      <c r="L1" s="3" t="s">
        <v>9</v>
      </c>
      <c r="M1" s="3" t="s">
        <v>35</v>
      </c>
      <c r="N1" s="3" t="s">
        <v>36</v>
      </c>
      <c r="O1" s="3" t="s">
        <v>37</v>
      </c>
      <c r="P1" s="3" t="s">
        <v>38</v>
      </c>
      <c r="Q1" s="3" t="s">
        <v>10</v>
      </c>
      <c r="R1" s="3" t="s">
        <v>11</v>
      </c>
      <c r="S1" s="3" t="s">
        <v>39</v>
      </c>
      <c r="T1" s="3" t="s">
        <v>40</v>
      </c>
      <c r="U1" s="3" t="s">
        <v>12</v>
      </c>
      <c r="V1" s="3" t="s">
        <v>13</v>
      </c>
      <c r="W1" s="3" t="s">
        <v>41</v>
      </c>
      <c r="X1" s="3" t="s">
        <v>42</v>
      </c>
      <c r="Y1" s="3" t="s">
        <v>43</v>
      </c>
      <c r="Z1" s="3" t="s">
        <v>44</v>
      </c>
      <c r="AA1" s="3" t="s">
        <v>45</v>
      </c>
      <c r="AB1" s="3" t="s">
        <v>14</v>
      </c>
      <c r="AC1" s="3" t="s">
        <v>46</v>
      </c>
      <c r="AD1" s="3" t="s">
        <v>47</v>
      </c>
      <c r="AE1" s="3" t="s">
        <v>48</v>
      </c>
      <c r="AF1" s="3" t="s">
        <v>15</v>
      </c>
      <c r="AG1" s="3" t="s">
        <v>16</v>
      </c>
      <c r="AH1" s="8" t="s">
        <v>17</v>
      </c>
    </row>
    <row r="2" spans="1:34">
      <c r="A2" s="1" t="s">
        <v>49</v>
      </c>
      <c r="B2" s="2" t="s">
        <v>19</v>
      </c>
      <c r="C2" s="2" t="s">
        <v>20</v>
      </c>
      <c r="D2" s="2">
        <v>16</v>
      </c>
      <c r="E2" s="2" t="s">
        <v>21</v>
      </c>
      <c r="F2" s="2" t="s">
        <v>22</v>
      </c>
      <c r="G2" s="2" t="s">
        <v>23</v>
      </c>
      <c r="H2" s="2"/>
      <c r="I2" s="2">
        <v>0</v>
      </c>
      <c r="J2" s="2">
        <v>0</v>
      </c>
      <c r="K2" s="2">
        <v>10</v>
      </c>
      <c r="L2" s="2">
        <v>12</v>
      </c>
      <c r="M2" s="2">
        <v>0</v>
      </c>
      <c r="N2" s="2">
        <v>0</v>
      </c>
      <c r="O2" s="2">
        <v>0</v>
      </c>
      <c r="P2" s="2">
        <v>0</v>
      </c>
      <c r="Q2" s="2">
        <v>300</v>
      </c>
      <c r="R2" s="2">
        <v>800</v>
      </c>
      <c r="S2" s="2">
        <v>0</v>
      </c>
      <c r="T2" s="2">
        <v>0</v>
      </c>
      <c r="U2" s="2">
        <f>Q2*R2*K2/100</f>
        <v>24000</v>
      </c>
      <c r="V2" s="2">
        <f>(Q2*R2+U2)*L2/100</f>
        <v>31680</v>
      </c>
      <c r="W2" s="2">
        <v>0</v>
      </c>
      <c r="X2" s="2">
        <v>0</v>
      </c>
      <c r="Y2" s="2">
        <v>0</v>
      </c>
      <c r="Z2" s="2">
        <v>0</v>
      </c>
      <c r="AA2" s="2">
        <v>10</v>
      </c>
      <c r="AB2" s="2">
        <v>10</v>
      </c>
      <c r="AC2" s="2">
        <v>10</v>
      </c>
      <c r="AD2" s="2">
        <v>100</v>
      </c>
      <c r="AE2" s="2">
        <v>100</v>
      </c>
      <c r="AF2" s="2">
        <f>SUM(S2:Z2)</f>
        <v>55680</v>
      </c>
      <c r="AG2" s="2">
        <f>(Q2*R2)+((Q2*R2)*K2)/100+((Q2*R2)+((Q2*R2)*K2)/100)*L2/100+AA2+AB2+AC2+AD2+AE2</f>
        <v>295910</v>
      </c>
      <c r="AH2" s="2" t="s">
        <v>24</v>
      </c>
    </row>
    <row r="3" spans="1:34">
      <c r="A3" s="2" t="s">
        <v>25</v>
      </c>
      <c r="B3" s="2" t="s">
        <v>26</v>
      </c>
      <c r="C3" s="2" t="s">
        <v>20</v>
      </c>
      <c r="D3" s="2">
        <v>14</v>
      </c>
      <c r="E3" s="2" t="s">
        <v>21</v>
      </c>
      <c r="F3" s="2" t="s">
        <v>27</v>
      </c>
      <c r="G3" s="2" t="s">
        <v>28</v>
      </c>
      <c r="H3" s="2"/>
      <c r="I3" s="2">
        <v>0</v>
      </c>
      <c r="J3" s="2">
        <v>0</v>
      </c>
      <c r="K3" s="2">
        <v>10</v>
      </c>
      <c r="L3" s="2">
        <v>15</v>
      </c>
      <c r="M3" s="2">
        <v>0</v>
      </c>
      <c r="N3" s="2">
        <v>0</v>
      </c>
      <c r="O3" s="2">
        <v>0</v>
      </c>
      <c r="P3" s="2">
        <v>0</v>
      </c>
      <c r="Q3" s="2">
        <v>300</v>
      </c>
      <c r="R3" s="2">
        <v>600</v>
      </c>
      <c r="S3" s="2">
        <v>0</v>
      </c>
      <c r="T3" s="2">
        <v>0</v>
      </c>
      <c r="U3" s="2">
        <f>Q3*R3*K3/100</f>
        <v>18000</v>
      </c>
      <c r="V3" s="2">
        <f>(Q3*R3+U3)*L3/100</f>
        <v>29700</v>
      </c>
      <c r="W3" s="2">
        <v>0</v>
      </c>
      <c r="X3" s="2">
        <v>0</v>
      </c>
      <c r="Y3" s="2">
        <v>0</v>
      </c>
      <c r="Z3" s="2">
        <v>0</v>
      </c>
      <c r="AA3" s="2">
        <v>10</v>
      </c>
      <c r="AB3" s="2">
        <v>10</v>
      </c>
      <c r="AC3" s="2">
        <v>10</v>
      </c>
      <c r="AD3" s="2">
        <v>100</v>
      </c>
      <c r="AE3" s="2">
        <v>100</v>
      </c>
      <c r="AF3" s="2">
        <f>SUM(S3:Z3)</f>
        <v>47700</v>
      </c>
      <c r="AG3" s="2">
        <f>(Q3*R3)+((Q3*R3)*K3)/100+((Q3*R3)+((Q3*R3)*K3)/100)*L3/100+AA3+AB3+AC3+AD3+AE3</f>
        <v>227930</v>
      </c>
      <c r="AH3" s="2" t="s">
        <v>24</v>
      </c>
    </row>
    <row r="4" spans="1:34">
      <c r="A4" s="2" t="s">
        <v>29</v>
      </c>
      <c r="B4" s="2" t="s">
        <v>30</v>
      </c>
      <c r="C4" s="2" t="s">
        <v>20</v>
      </c>
      <c r="D4" s="2">
        <v>16</v>
      </c>
      <c r="E4" s="2" t="s">
        <v>21</v>
      </c>
      <c r="F4" s="2" t="s">
        <v>22</v>
      </c>
      <c r="G4" s="2" t="s">
        <v>23</v>
      </c>
      <c r="H4" s="2"/>
      <c r="I4" s="2">
        <v>0</v>
      </c>
      <c r="J4" s="2">
        <v>0</v>
      </c>
      <c r="K4" s="2">
        <v>10</v>
      </c>
      <c r="L4" s="2">
        <v>12</v>
      </c>
      <c r="M4" s="2">
        <v>0</v>
      </c>
      <c r="N4" s="2">
        <v>0</v>
      </c>
      <c r="O4" s="2">
        <v>0</v>
      </c>
      <c r="P4" s="2">
        <v>0</v>
      </c>
      <c r="Q4" s="2">
        <v>100</v>
      </c>
      <c r="R4" s="2">
        <v>30000</v>
      </c>
      <c r="S4" s="2">
        <v>0</v>
      </c>
      <c r="T4" s="2">
        <v>0</v>
      </c>
      <c r="U4" s="2">
        <f>Q4*R4*K4/100</f>
        <v>300000</v>
      </c>
      <c r="V4" s="2">
        <f>(Q4*R4+U4)*L4/100</f>
        <v>396000</v>
      </c>
      <c r="W4" s="2">
        <v>0</v>
      </c>
      <c r="X4" s="2">
        <v>0</v>
      </c>
      <c r="Y4" s="2">
        <v>0</v>
      </c>
      <c r="Z4" s="2">
        <v>0</v>
      </c>
      <c r="AA4" s="2">
        <v>10</v>
      </c>
      <c r="AB4" s="2">
        <v>10</v>
      </c>
      <c r="AC4" s="2">
        <v>10</v>
      </c>
      <c r="AD4" s="2">
        <v>100</v>
      </c>
      <c r="AE4" s="2">
        <v>100</v>
      </c>
      <c r="AF4" s="2">
        <f>SUM(S4:Z4)</f>
        <v>696000</v>
      </c>
      <c r="AG4" s="2">
        <f>(Q4*R4)+((Q4*R4)*K4)/100+((Q4*R4)+((Q4*R4)*K4)/100)*L4/100+AA4+AB4+AC4+AD4+AE4</f>
        <v>3696230</v>
      </c>
      <c r="AH4" s="2" t="s">
        <v>24</v>
      </c>
    </row>
    <row r="5" spans="1:34">
      <c r="A5" s="2" t="s">
        <v>31</v>
      </c>
      <c r="B5" s="7" t="s">
        <v>32</v>
      </c>
      <c r="C5" s="2" t="s">
        <v>20</v>
      </c>
      <c r="D5" s="2">
        <v>15</v>
      </c>
      <c r="E5" s="2" t="s">
        <v>21</v>
      </c>
      <c r="F5" s="2" t="s">
        <v>27</v>
      </c>
      <c r="G5" s="2" t="s">
        <v>23</v>
      </c>
      <c r="H5" s="2"/>
      <c r="I5" s="2">
        <v>0</v>
      </c>
      <c r="J5" s="2">
        <v>0</v>
      </c>
      <c r="K5" s="2">
        <v>20</v>
      </c>
      <c r="L5" s="2">
        <v>15</v>
      </c>
      <c r="M5" s="2">
        <v>0</v>
      </c>
      <c r="N5" s="2">
        <v>0</v>
      </c>
      <c r="O5" s="2">
        <v>0</v>
      </c>
      <c r="P5" s="2">
        <v>0</v>
      </c>
      <c r="Q5" s="2">
        <v>200</v>
      </c>
      <c r="R5" s="2">
        <v>10000</v>
      </c>
      <c r="S5" s="7">
        <v>0</v>
      </c>
      <c r="T5" s="7">
        <v>0</v>
      </c>
      <c r="U5" s="2">
        <f>Q5*R5*K5/100</f>
        <v>400000</v>
      </c>
      <c r="V5" s="2">
        <f>(Q5*R5+U5)*L5/100</f>
        <v>360000</v>
      </c>
      <c r="W5" s="2">
        <v>0</v>
      </c>
      <c r="X5" s="2">
        <v>0</v>
      </c>
      <c r="Y5" s="2">
        <v>0</v>
      </c>
      <c r="Z5" s="2">
        <v>0</v>
      </c>
      <c r="AA5" s="2">
        <v>10</v>
      </c>
      <c r="AB5" s="2">
        <v>10</v>
      </c>
      <c r="AC5" s="2">
        <v>10</v>
      </c>
      <c r="AD5" s="2">
        <v>100</v>
      </c>
      <c r="AE5" s="2">
        <v>100</v>
      </c>
      <c r="AF5" s="2">
        <f>SUM(S5:Z5)</f>
        <v>760000</v>
      </c>
      <c r="AG5" s="2">
        <f>(Q5*R5)+((Q5*R5)*K5)/100+((Q5*R5)+((Q5*R5)*K5)/100)*L5/100+AA5+AB5+AC5+AD5+AE5</f>
        <v>2760230</v>
      </c>
      <c r="AH5" s="2" t="s">
        <v>24</v>
      </c>
    </row>
    <row r="15" spans="1:34">
      <c r="E15">
        <v>0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:X32"/>
  <sheetViews>
    <sheetView view="pageBreakPreview" zoomScale="80" zoomScaleNormal="70" zoomScaleSheetLayoutView="80" workbookViewId="0">
      <pane ySplit="2" topLeftCell="A3" activePane="bottomLeft" state="frozen"/>
      <selection activeCell="B2" sqref="B2"/>
      <selection pane="bottomLeft" activeCell="C1" sqref="C1:M1"/>
    </sheetView>
  </sheetViews>
  <sheetFormatPr defaultRowHeight="72" customHeight="1"/>
  <cols>
    <col min="1" max="1" width="35.42578125" style="5" customWidth="1"/>
    <col min="2" max="2" width="56.7109375" style="5" customWidth="1"/>
    <col min="3" max="3" width="20.5703125" style="69" customWidth="1"/>
    <col min="4" max="4" width="16.85546875" style="17" customWidth="1"/>
    <col min="5" max="5" width="15.140625" style="5" customWidth="1"/>
    <col min="6" max="6" width="19.5703125" style="5" customWidth="1"/>
    <col min="7" max="7" width="12.42578125" style="5" customWidth="1"/>
    <col min="8" max="8" width="13.140625" style="5" customWidth="1"/>
    <col min="9" max="9" width="18.140625" style="5" customWidth="1"/>
    <col min="10" max="10" width="9.140625" style="5"/>
    <col min="11" max="11" width="19" style="5" customWidth="1"/>
    <col min="12" max="12" width="12.5703125" style="17" customWidth="1"/>
    <col min="13" max="13" width="17.5703125" style="5" customWidth="1"/>
    <col min="14" max="14" width="11.5703125" style="6" bestFit="1" customWidth="1"/>
    <col min="15" max="15" width="9.140625" style="5"/>
    <col min="16" max="16" width="13.85546875" style="5" customWidth="1"/>
    <col min="17" max="17" width="12" style="5" customWidth="1"/>
    <col min="18" max="19" width="13.28515625" style="5" customWidth="1"/>
    <col min="20" max="20" width="16" style="6" customWidth="1"/>
    <col min="21" max="21" width="9.140625" style="5"/>
    <col min="22" max="22" width="11.28515625" style="5" customWidth="1"/>
    <col min="23" max="16384" width="9.140625" style="5"/>
  </cols>
  <sheetData>
    <row r="1" spans="1:24" s="4" customFormat="1" ht="47.25">
      <c r="A1" s="33" t="s">
        <v>50</v>
      </c>
      <c r="B1" s="33" t="s">
        <v>51</v>
      </c>
      <c r="C1" s="33" t="s">
        <v>52</v>
      </c>
      <c r="D1" s="34" t="s">
        <v>53</v>
      </c>
      <c r="E1" s="33" t="s">
        <v>54</v>
      </c>
      <c r="F1" s="33" t="s">
        <v>55</v>
      </c>
      <c r="G1" s="33" t="s">
        <v>56</v>
      </c>
      <c r="H1" s="33" t="s">
        <v>57</v>
      </c>
      <c r="I1" s="33" t="s">
        <v>58</v>
      </c>
      <c r="J1" s="33" t="s">
        <v>59</v>
      </c>
      <c r="K1" s="33" t="s">
        <v>60</v>
      </c>
      <c r="L1" s="34" t="s">
        <v>61</v>
      </c>
      <c r="M1" s="33" t="s">
        <v>62</v>
      </c>
      <c r="N1" s="33" t="s">
        <v>113</v>
      </c>
      <c r="O1" s="33" t="s">
        <v>63</v>
      </c>
      <c r="P1" s="33" t="s">
        <v>64</v>
      </c>
      <c r="Q1" s="33" t="s">
        <v>65</v>
      </c>
      <c r="R1" s="33" t="s">
        <v>66</v>
      </c>
      <c r="S1" s="33" t="s">
        <v>67</v>
      </c>
      <c r="T1" s="33" t="s">
        <v>68</v>
      </c>
      <c r="U1" s="33" t="s">
        <v>69</v>
      </c>
      <c r="V1" s="33" t="s">
        <v>70</v>
      </c>
      <c r="W1" s="33" t="s">
        <v>71</v>
      </c>
      <c r="X1" s="33" t="s">
        <v>72</v>
      </c>
    </row>
    <row r="2" spans="1:24" s="18" customFormat="1" ht="72" customHeight="1">
      <c r="A2" s="35" t="s">
        <v>221</v>
      </c>
      <c r="B2" s="35" t="s">
        <v>222</v>
      </c>
      <c r="C2" s="35" t="s">
        <v>223</v>
      </c>
      <c r="D2" s="36" t="s">
        <v>224</v>
      </c>
      <c r="E2" s="35" t="s">
        <v>54</v>
      </c>
      <c r="F2" s="35" t="s">
        <v>73</v>
      </c>
      <c r="G2" s="35" t="s">
        <v>225</v>
      </c>
      <c r="H2" s="35" t="s">
        <v>74</v>
      </c>
      <c r="I2" s="35" t="s">
        <v>226</v>
      </c>
      <c r="J2" s="35" t="s">
        <v>75</v>
      </c>
      <c r="K2" s="35" t="s">
        <v>76</v>
      </c>
      <c r="L2" s="51" t="s">
        <v>77</v>
      </c>
      <c r="M2" s="37" t="s">
        <v>78</v>
      </c>
      <c r="N2" s="37" t="s">
        <v>114</v>
      </c>
      <c r="O2" s="37" t="s">
        <v>79</v>
      </c>
      <c r="P2" s="37" t="s">
        <v>80</v>
      </c>
      <c r="Q2" s="37" t="s">
        <v>81</v>
      </c>
      <c r="R2" s="37" t="s">
        <v>82</v>
      </c>
      <c r="S2" s="37" t="s">
        <v>83</v>
      </c>
      <c r="T2" s="37" t="s">
        <v>277</v>
      </c>
      <c r="U2" s="37" t="s">
        <v>84</v>
      </c>
      <c r="V2" s="37" t="s">
        <v>85</v>
      </c>
      <c r="W2" s="37" t="s">
        <v>86</v>
      </c>
      <c r="X2" s="37" t="s">
        <v>87</v>
      </c>
    </row>
    <row r="3" spans="1:24" customFormat="1" ht="72" customHeight="1">
      <c r="A3" s="32" t="s">
        <v>308</v>
      </c>
      <c r="B3" s="32" t="s">
        <v>273</v>
      </c>
      <c r="C3" s="63" t="s">
        <v>305</v>
      </c>
      <c r="D3" s="44"/>
      <c r="E3" s="45"/>
      <c r="F3" s="46"/>
      <c r="G3" s="39"/>
      <c r="H3" s="39"/>
      <c r="I3" s="39">
        <v>0</v>
      </c>
      <c r="J3" s="53"/>
      <c r="K3" s="39" t="s">
        <v>300</v>
      </c>
      <c r="L3" s="41"/>
      <c r="M3" s="41"/>
      <c r="N3" s="47"/>
      <c r="O3" s="39">
        <v>0</v>
      </c>
      <c r="P3" s="39">
        <v>0</v>
      </c>
      <c r="Q3" s="39">
        <v>0</v>
      </c>
      <c r="R3" s="39">
        <v>0</v>
      </c>
      <c r="S3" s="39">
        <v>0</v>
      </c>
      <c r="T3" s="39" t="s">
        <v>275</v>
      </c>
      <c r="U3" s="39" t="s">
        <v>269</v>
      </c>
      <c r="V3" s="52"/>
      <c r="W3" s="39">
        <v>1</v>
      </c>
      <c r="X3" s="39">
        <v>1</v>
      </c>
    </row>
    <row r="4" spans="1:24" customFormat="1" ht="72" customHeight="1">
      <c r="A4" s="32" t="s">
        <v>295</v>
      </c>
      <c r="B4" s="62" t="s">
        <v>296</v>
      </c>
      <c r="C4" s="65"/>
      <c r="D4" s="44"/>
      <c r="E4" s="45"/>
      <c r="F4" s="46"/>
      <c r="G4" s="39"/>
      <c r="H4" s="39"/>
      <c r="I4" s="39">
        <v>0</v>
      </c>
      <c r="J4" s="48"/>
      <c r="K4" s="39" t="s">
        <v>274</v>
      </c>
      <c r="L4" s="41" t="s">
        <v>276</v>
      </c>
      <c r="M4" s="39"/>
      <c r="N4" s="47"/>
      <c r="O4" s="39">
        <v>0</v>
      </c>
      <c r="P4" s="39">
        <v>0</v>
      </c>
      <c r="Q4" s="39">
        <v>0</v>
      </c>
      <c r="R4" s="39">
        <v>0</v>
      </c>
      <c r="S4" s="39">
        <v>0</v>
      </c>
      <c r="T4" s="39" t="s">
        <v>275</v>
      </c>
      <c r="U4" s="39" t="s">
        <v>297</v>
      </c>
      <c r="V4" s="39"/>
      <c r="W4" s="39">
        <v>1</v>
      </c>
      <c r="X4" s="39">
        <v>0</v>
      </c>
    </row>
    <row r="5" spans="1:24" customFormat="1" ht="72" customHeight="1">
      <c r="A5" s="32" t="s">
        <v>309</v>
      </c>
      <c r="B5" s="32" t="s">
        <v>298</v>
      </c>
      <c r="C5" s="65" t="s">
        <v>299</v>
      </c>
      <c r="D5" s="44"/>
      <c r="E5" s="45"/>
      <c r="F5" s="46"/>
      <c r="G5" s="39"/>
      <c r="H5" s="39"/>
      <c r="I5" s="39">
        <v>0</v>
      </c>
      <c r="J5" s="54"/>
      <c r="K5" s="39" t="s">
        <v>300</v>
      </c>
      <c r="L5" s="41"/>
      <c r="M5" s="49"/>
      <c r="N5" s="47"/>
      <c r="O5" s="39">
        <v>0</v>
      </c>
      <c r="P5" s="39">
        <v>0</v>
      </c>
      <c r="Q5" s="39">
        <v>0</v>
      </c>
      <c r="R5" s="39">
        <v>0</v>
      </c>
      <c r="S5" s="39">
        <v>0</v>
      </c>
      <c r="T5" s="39" t="s">
        <v>306</v>
      </c>
      <c r="U5" s="39" t="s">
        <v>269</v>
      </c>
      <c r="V5" s="49"/>
      <c r="W5" s="39">
        <v>1</v>
      </c>
      <c r="X5" s="39">
        <v>1</v>
      </c>
    </row>
    <row r="6" spans="1:24" customFormat="1" ht="72" customHeight="1">
      <c r="A6" s="32" t="s">
        <v>301</v>
      </c>
      <c r="B6" s="32" t="s">
        <v>302</v>
      </c>
      <c r="C6" s="64" t="s">
        <v>303</v>
      </c>
      <c r="D6" s="44"/>
      <c r="E6" s="45"/>
      <c r="F6" s="46"/>
      <c r="G6" s="39"/>
      <c r="H6" s="39"/>
      <c r="I6" s="39">
        <v>0</v>
      </c>
      <c r="J6" s="48"/>
      <c r="K6" s="39" t="s">
        <v>300</v>
      </c>
      <c r="L6" s="41"/>
      <c r="M6" s="49"/>
      <c r="N6" s="47"/>
      <c r="O6" s="39">
        <v>0</v>
      </c>
      <c r="P6" s="39">
        <v>0</v>
      </c>
      <c r="Q6" s="39">
        <v>0</v>
      </c>
      <c r="R6" s="39">
        <v>0</v>
      </c>
      <c r="S6" s="39">
        <v>0</v>
      </c>
      <c r="T6" s="39" t="s">
        <v>306</v>
      </c>
      <c r="U6" s="39" t="s">
        <v>269</v>
      </c>
      <c r="V6" s="49"/>
      <c r="W6" s="39">
        <v>1</v>
      </c>
      <c r="X6" s="39">
        <v>1</v>
      </c>
    </row>
    <row r="7" spans="1:24" customFormat="1" ht="72" customHeight="1">
      <c r="A7" s="43" t="s">
        <v>310</v>
      </c>
      <c r="B7" s="43" t="s">
        <v>304</v>
      </c>
      <c r="C7" s="42" t="s">
        <v>307</v>
      </c>
      <c r="D7" s="44"/>
      <c r="E7" s="45"/>
      <c r="F7" s="46"/>
      <c r="G7" s="39"/>
      <c r="H7" s="39"/>
      <c r="I7" s="39">
        <v>0</v>
      </c>
      <c r="J7" s="48"/>
      <c r="K7" s="39" t="s">
        <v>300</v>
      </c>
      <c r="L7" s="41"/>
      <c r="M7" s="49"/>
      <c r="N7" s="47"/>
      <c r="O7" s="39">
        <v>0</v>
      </c>
      <c r="P7" s="39">
        <v>0</v>
      </c>
      <c r="Q7" s="39">
        <v>0</v>
      </c>
      <c r="R7" s="39">
        <v>0</v>
      </c>
      <c r="S7" s="39">
        <v>0</v>
      </c>
      <c r="T7" s="39" t="s">
        <v>306</v>
      </c>
      <c r="U7" s="39" t="s">
        <v>269</v>
      </c>
      <c r="V7" s="49"/>
      <c r="W7" s="39">
        <v>1</v>
      </c>
      <c r="X7" s="39">
        <v>1</v>
      </c>
    </row>
    <row r="8" spans="1:24" customFormat="1" ht="72" customHeight="1">
      <c r="A8" s="32" t="s">
        <v>312</v>
      </c>
      <c r="B8" s="43" t="s">
        <v>304</v>
      </c>
      <c r="C8" s="65" t="s">
        <v>311</v>
      </c>
      <c r="D8" s="44"/>
      <c r="E8" s="45"/>
      <c r="F8" s="46"/>
      <c r="G8" s="39"/>
      <c r="H8" s="39"/>
      <c r="I8" s="39">
        <v>0</v>
      </c>
      <c r="J8" s="48"/>
      <c r="K8" s="39" t="s">
        <v>274</v>
      </c>
      <c r="L8" s="41" t="s">
        <v>276</v>
      </c>
      <c r="M8" s="49"/>
      <c r="N8" s="47"/>
      <c r="O8" s="39">
        <v>0</v>
      </c>
      <c r="P8" s="39">
        <v>0</v>
      </c>
      <c r="Q8" s="39">
        <v>0</v>
      </c>
      <c r="R8" s="39">
        <v>0</v>
      </c>
      <c r="S8" s="39">
        <v>0</v>
      </c>
      <c r="T8" s="39" t="s">
        <v>275</v>
      </c>
      <c r="U8" s="39" t="s">
        <v>297</v>
      </c>
      <c r="V8" s="49"/>
      <c r="W8" s="39">
        <v>1</v>
      </c>
      <c r="X8" s="39">
        <v>0</v>
      </c>
    </row>
    <row r="9" spans="1:24" ht="15">
      <c r="A9" s="43"/>
      <c r="B9" s="43"/>
      <c r="C9" s="66"/>
      <c r="D9" s="44"/>
      <c r="E9" s="45"/>
      <c r="F9" s="46"/>
      <c r="G9" s="39"/>
      <c r="H9" s="39"/>
      <c r="I9" s="39"/>
      <c r="J9" s="39"/>
      <c r="K9" s="39"/>
      <c r="L9" s="41"/>
      <c r="M9" s="39"/>
      <c r="N9" s="47"/>
      <c r="O9" s="39"/>
      <c r="P9" s="39"/>
      <c r="Q9" s="39"/>
      <c r="R9" s="39"/>
      <c r="S9" s="39"/>
      <c r="T9" s="39"/>
      <c r="U9" s="39"/>
      <c r="V9" s="39"/>
      <c r="W9" s="39"/>
      <c r="X9" s="39"/>
    </row>
    <row r="10" spans="1:24" ht="15">
      <c r="A10" s="50"/>
      <c r="B10" s="43"/>
      <c r="C10" s="65"/>
      <c r="D10" s="44"/>
      <c r="E10" s="45"/>
      <c r="F10" s="46"/>
      <c r="G10" s="39"/>
      <c r="H10" s="39"/>
      <c r="I10" s="39"/>
      <c r="J10" s="39"/>
      <c r="K10" s="39"/>
      <c r="L10" s="41"/>
      <c r="M10" s="39"/>
      <c r="N10" s="47"/>
      <c r="O10" s="39"/>
      <c r="P10" s="39"/>
      <c r="Q10" s="39"/>
      <c r="R10" s="39"/>
      <c r="S10" s="39"/>
      <c r="T10" s="39"/>
      <c r="U10" s="39"/>
      <c r="V10" s="39"/>
      <c r="W10" s="39"/>
      <c r="X10" s="39"/>
    </row>
    <row r="11" spans="1:24" s="22" customFormat="1" ht="72" customHeight="1">
      <c r="A11" s="32"/>
      <c r="B11" s="32"/>
      <c r="C11" s="38"/>
      <c r="D11" s="44"/>
      <c r="E11" s="45"/>
      <c r="F11" s="46"/>
      <c r="G11" s="39"/>
      <c r="H11" s="39"/>
      <c r="I11" s="39"/>
      <c r="J11" s="53"/>
      <c r="K11" s="39"/>
      <c r="L11" s="41"/>
      <c r="M11" s="41"/>
      <c r="N11" s="47"/>
      <c r="O11" s="39"/>
      <c r="P11" s="39"/>
      <c r="Q11" s="39"/>
      <c r="R11" s="39"/>
      <c r="S11" s="39"/>
      <c r="T11" s="39"/>
      <c r="U11" s="39"/>
      <c r="V11" s="52"/>
      <c r="W11" s="39"/>
      <c r="X11" s="39"/>
    </row>
    <row r="12" spans="1:24" customFormat="1" ht="72" customHeight="1">
      <c r="A12" s="32"/>
      <c r="B12" s="40"/>
      <c r="C12" s="65"/>
      <c r="D12" s="44"/>
      <c r="E12" s="45"/>
      <c r="F12" s="46"/>
      <c r="G12" s="39"/>
      <c r="H12" s="39"/>
      <c r="I12" s="39"/>
      <c r="J12" s="48"/>
      <c r="K12" s="39"/>
      <c r="L12" s="41"/>
      <c r="M12" s="39"/>
      <c r="N12" s="47"/>
      <c r="O12" s="39"/>
      <c r="P12" s="39"/>
      <c r="Q12" s="39"/>
      <c r="R12" s="39"/>
      <c r="S12" s="39"/>
      <c r="T12" s="39"/>
      <c r="U12" s="39"/>
      <c r="V12" s="39"/>
      <c r="W12" s="39"/>
      <c r="X12" s="39"/>
    </row>
    <row r="13" spans="1:24" customFormat="1" ht="72" customHeight="1">
      <c r="A13" s="32"/>
      <c r="B13" s="32"/>
      <c r="C13" s="65"/>
      <c r="D13" s="44"/>
      <c r="E13" s="45"/>
      <c r="F13" s="46"/>
      <c r="G13" s="39"/>
      <c r="H13" s="39"/>
      <c r="I13" s="39"/>
      <c r="J13" s="54"/>
      <c r="K13" s="39"/>
      <c r="L13" s="41"/>
      <c r="M13" s="49"/>
      <c r="N13" s="47"/>
      <c r="O13" s="39"/>
      <c r="P13" s="39"/>
      <c r="Q13" s="39"/>
      <c r="R13" s="39"/>
      <c r="S13" s="39"/>
      <c r="T13" s="39"/>
      <c r="U13" s="39"/>
      <c r="V13" s="49"/>
      <c r="W13" s="39"/>
      <c r="X13" s="39"/>
    </row>
    <row r="14" spans="1:24" customFormat="1" ht="72" customHeight="1">
      <c r="A14" s="23"/>
      <c r="B14" s="23"/>
      <c r="C14" s="67"/>
      <c r="D14" s="25"/>
      <c r="E14" s="26"/>
      <c r="F14" s="26"/>
      <c r="G14" s="26"/>
      <c r="H14" s="26"/>
      <c r="I14" s="23"/>
      <c r="J14" s="26"/>
      <c r="K14" s="23"/>
      <c r="L14" s="25"/>
      <c r="M14" s="26"/>
      <c r="N14" s="26"/>
      <c r="O14" s="23"/>
      <c r="P14" s="23"/>
      <c r="Q14" s="23"/>
      <c r="R14" s="23"/>
      <c r="S14" s="23"/>
      <c r="T14" s="27"/>
      <c r="U14" s="23"/>
      <c r="V14" s="26"/>
      <c r="W14" s="23"/>
      <c r="X14" s="28"/>
    </row>
    <row r="15" spans="1:24" customFormat="1" ht="72" customHeight="1">
      <c r="A15" s="23"/>
      <c r="B15" s="23"/>
      <c r="C15" s="67"/>
      <c r="D15" s="25"/>
      <c r="E15" s="26"/>
      <c r="F15" s="26"/>
      <c r="G15" s="26"/>
      <c r="H15" s="26"/>
      <c r="I15" s="23"/>
      <c r="J15" s="26"/>
      <c r="K15" s="23"/>
      <c r="L15" s="25"/>
      <c r="M15" s="26"/>
      <c r="N15" s="26"/>
      <c r="O15" s="23"/>
      <c r="P15" s="23"/>
      <c r="Q15" s="23"/>
      <c r="R15" s="23"/>
      <c r="S15" s="23"/>
      <c r="T15" s="27"/>
      <c r="U15" s="23"/>
      <c r="V15" s="26"/>
      <c r="W15" s="23"/>
      <c r="X15" s="28"/>
    </row>
    <row r="16" spans="1:24" customFormat="1" ht="72" customHeight="1">
      <c r="A16" s="23"/>
      <c r="B16" s="23"/>
      <c r="C16" s="67"/>
      <c r="D16" s="25"/>
      <c r="E16" s="26"/>
      <c r="F16" s="26"/>
      <c r="G16" s="26"/>
      <c r="H16" s="26"/>
      <c r="I16" s="23"/>
      <c r="J16" s="26"/>
      <c r="K16" s="23"/>
      <c r="L16" s="25"/>
      <c r="M16" s="26"/>
      <c r="N16" s="26"/>
      <c r="O16" s="23"/>
      <c r="P16" s="23"/>
      <c r="Q16" s="23"/>
      <c r="R16" s="23"/>
      <c r="S16" s="23"/>
      <c r="T16" s="27"/>
      <c r="U16" s="23"/>
      <c r="V16" s="26"/>
      <c r="W16" s="23"/>
      <c r="X16" s="28"/>
    </row>
    <row r="17" spans="1:24" customFormat="1" ht="72" customHeight="1">
      <c r="A17" s="23"/>
      <c r="B17" s="23"/>
      <c r="C17" s="67"/>
      <c r="D17" s="25"/>
      <c r="E17" s="26"/>
      <c r="F17" s="26"/>
      <c r="G17" s="26"/>
      <c r="H17" s="26"/>
      <c r="I17" s="23"/>
      <c r="J17" s="26"/>
      <c r="K17" s="23"/>
      <c r="L17" s="25"/>
      <c r="M17" s="26"/>
      <c r="N17" s="26"/>
      <c r="O17" s="23"/>
      <c r="P17" s="23"/>
      <c r="Q17" s="23"/>
      <c r="R17" s="23"/>
      <c r="S17" s="23"/>
      <c r="T17" s="27"/>
      <c r="U17" s="23"/>
      <c r="V17" s="26"/>
      <c r="W17" s="23"/>
      <c r="X17" s="28"/>
    </row>
    <row r="18" spans="1:24" customFormat="1" ht="72" customHeight="1">
      <c r="A18" s="23"/>
      <c r="B18" s="23"/>
      <c r="C18" s="67"/>
      <c r="D18" s="25"/>
      <c r="E18" s="26"/>
      <c r="F18" s="26"/>
      <c r="G18" s="26"/>
      <c r="H18" s="26"/>
      <c r="I18" s="23"/>
      <c r="J18" s="26"/>
      <c r="K18" s="23"/>
      <c r="L18" s="25"/>
      <c r="M18" s="26"/>
      <c r="N18" s="26"/>
      <c r="O18" s="23"/>
      <c r="P18" s="23"/>
      <c r="Q18" s="23"/>
      <c r="R18" s="23"/>
      <c r="S18" s="23"/>
      <c r="T18" s="27"/>
      <c r="U18" s="23"/>
      <c r="V18" s="26"/>
      <c r="W18" s="23"/>
      <c r="X18" s="28"/>
    </row>
    <row r="19" spans="1:24" customFormat="1" ht="72" customHeight="1">
      <c r="A19" s="23"/>
      <c r="B19" s="23"/>
      <c r="C19" s="68"/>
      <c r="D19" s="25"/>
      <c r="E19" s="26"/>
      <c r="F19" s="26"/>
      <c r="G19" s="26"/>
      <c r="H19" s="26"/>
      <c r="I19" s="23"/>
      <c r="J19" s="26"/>
      <c r="K19" s="23"/>
      <c r="L19" s="25"/>
      <c r="M19" s="26"/>
      <c r="N19" s="26"/>
      <c r="O19" s="23"/>
      <c r="P19" s="23"/>
      <c r="Q19" s="23"/>
      <c r="R19" s="23"/>
      <c r="S19" s="23"/>
      <c r="T19" s="27"/>
      <c r="U19" s="23"/>
      <c r="V19" s="26"/>
      <c r="W19" s="23"/>
      <c r="X19" s="28"/>
    </row>
    <row r="20" spans="1:24" customFormat="1" ht="72" customHeight="1">
      <c r="A20" s="23"/>
      <c r="B20" s="23"/>
      <c r="C20" s="68"/>
      <c r="D20" s="25"/>
      <c r="E20" s="26"/>
      <c r="F20" s="26"/>
      <c r="G20" s="26"/>
      <c r="H20" s="26"/>
      <c r="I20" s="23"/>
      <c r="J20" s="26"/>
      <c r="K20" s="23"/>
      <c r="L20" s="25"/>
      <c r="M20" s="26"/>
      <c r="N20" s="26"/>
      <c r="O20" s="23"/>
      <c r="P20" s="23"/>
      <c r="Q20" s="23"/>
      <c r="R20" s="23"/>
      <c r="S20" s="23"/>
      <c r="T20" s="27"/>
      <c r="U20" s="23"/>
      <c r="V20" s="26"/>
      <c r="W20" s="23"/>
      <c r="X20" s="28"/>
    </row>
    <row r="21" spans="1:24" customFormat="1" ht="72" customHeight="1">
      <c r="A21" s="23"/>
      <c r="B21" s="23"/>
      <c r="C21" s="68"/>
      <c r="D21" s="25"/>
      <c r="E21" s="26"/>
      <c r="F21" s="26"/>
      <c r="G21" s="26"/>
      <c r="H21" s="26"/>
      <c r="I21" s="23"/>
      <c r="J21" s="26"/>
      <c r="K21" s="23"/>
      <c r="L21" s="25"/>
      <c r="M21" s="26"/>
      <c r="N21" s="26"/>
      <c r="O21" s="23"/>
      <c r="P21" s="23"/>
      <c r="Q21" s="23"/>
      <c r="R21" s="23"/>
      <c r="S21" s="23"/>
      <c r="T21" s="27"/>
      <c r="U21" s="23"/>
      <c r="V21" s="26"/>
      <c r="W21" s="23"/>
      <c r="X21" s="28"/>
    </row>
    <row r="22" spans="1:24" customFormat="1" ht="72" customHeight="1">
      <c r="A22" s="23"/>
      <c r="B22" s="23"/>
      <c r="C22" s="68"/>
      <c r="D22" s="25"/>
      <c r="E22" s="26"/>
      <c r="F22" s="26"/>
      <c r="G22" s="26"/>
      <c r="H22" s="26"/>
      <c r="I22" s="23"/>
      <c r="J22" s="26"/>
      <c r="K22" s="23"/>
      <c r="L22" s="25"/>
      <c r="M22" s="26"/>
      <c r="N22" s="26"/>
      <c r="O22" s="23"/>
      <c r="P22" s="23"/>
      <c r="Q22" s="23"/>
      <c r="R22" s="23"/>
      <c r="S22" s="23"/>
      <c r="T22" s="27"/>
      <c r="U22" s="23"/>
      <c r="V22" s="26"/>
      <c r="W22" s="23"/>
      <c r="X22" s="28"/>
    </row>
    <row r="23" spans="1:24" customFormat="1" ht="72" customHeight="1">
      <c r="A23" s="23"/>
      <c r="B23" s="23"/>
      <c r="C23" s="68"/>
      <c r="D23" s="25"/>
      <c r="E23" s="26"/>
      <c r="F23" s="26"/>
      <c r="G23" s="26"/>
      <c r="H23" s="26"/>
      <c r="I23" s="23"/>
      <c r="J23" s="26"/>
      <c r="K23" s="23"/>
      <c r="L23" s="25"/>
      <c r="M23" s="26"/>
      <c r="N23" s="26"/>
      <c r="O23" s="23"/>
      <c r="P23" s="23"/>
      <c r="Q23" s="23"/>
      <c r="R23" s="23"/>
      <c r="S23" s="23"/>
      <c r="T23" s="27"/>
      <c r="U23" s="23"/>
      <c r="V23" s="26"/>
      <c r="W23" s="23"/>
      <c r="X23" s="28"/>
    </row>
    <row r="24" spans="1:24" customFormat="1" ht="72" customHeight="1">
      <c r="A24" s="23"/>
      <c r="B24" s="23"/>
      <c r="C24" s="68"/>
      <c r="D24" s="25"/>
      <c r="E24" s="26"/>
      <c r="F24" s="26"/>
      <c r="G24" s="26"/>
      <c r="H24" s="26"/>
      <c r="I24" s="23"/>
      <c r="J24" s="26"/>
      <c r="K24" s="23"/>
      <c r="L24" s="25"/>
      <c r="M24" s="26"/>
      <c r="N24" s="26"/>
      <c r="O24" s="23"/>
      <c r="P24" s="23"/>
      <c r="Q24" s="23"/>
      <c r="R24" s="23"/>
      <c r="S24" s="23"/>
      <c r="T24" s="27"/>
      <c r="U24" s="23"/>
      <c r="V24" s="26"/>
      <c r="W24" s="23"/>
      <c r="X24" s="28"/>
    </row>
    <row r="25" spans="1:24" customFormat="1" ht="72" customHeight="1">
      <c r="A25" s="23"/>
      <c r="B25" s="23"/>
      <c r="C25" s="68"/>
      <c r="D25" s="25"/>
      <c r="E25" s="26"/>
      <c r="F25" s="26"/>
      <c r="G25" s="26"/>
      <c r="H25" s="26"/>
      <c r="I25" s="23"/>
      <c r="J25" s="26"/>
      <c r="K25" s="23"/>
      <c r="L25" s="25"/>
      <c r="M25" s="26"/>
      <c r="N25" s="26"/>
      <c r="O25" s="23"/>
      <c r="P25" s="23"/>
      <c r="Q25" s="23"/>
      <c r="R25" s="23"/>
      <c r="S25" s="23"/>
      <c r="T25" s="27"/>
      <c r="U25" s="23"/>
      <c r="V25" s="26"/>
      <c r="W25" s="23"/>
      <c r="X25" s="28"/>
    </row>
    <row r="26" spans="1:24" ht="72" customHeight="1">
      <c r="A26" s="23"/>
      <c r="B26" s="23"/>
      <c r="C26" s="68"/>
      <c r="D26" s="24"/>
      <c r="E26" s="23"/>
      <c r="F26" s="23"/>
      <c r="G26" s="23"/>
      <c r="H26" s="23"/>
      <c r="I26" s="23"/>
      <c r="J26" s="23"/>
      <c r="K26" s="23"/>
      <c r="L26" s="24"/>
      <c r="M26" s="23"/>
      <c r="N26" s="29"/>
      <c r="O26" s="23"/>
      <c r="P26" s="23"/>
      <c r="Q26" s="23"/>
      <c r="R26" s="23"/>
      <c r="S26" s="23"/>
      <c r="T26" s="23"/>
      <c r="U26" s="23"/>
      <c r="V26" s="23"/>
      <c r="W26" s="23"/>
      <c r="X26" s="23"/>
    </row>
    <row r="27" spans="1:24" ht="72" customHeight="1">
      <c r="A27" s="23"/>
      <c r="B27" s="23"/>
      <c r="C27" s="68"/>
      <c r="D27" s="24"/>
      <c r="E27" s="23"/>
      <c r="F27" s="23"/>
      <c r="G27" s="23"/>
      <c r="H27" s="23"/>
      <c r="I27" s="23"/>
      <c r="J27" s="23"/>
      <c r="K27" s="23"/>
      <c r="L27" s="24"/>
      <c r="M27" s="23"/>
      <c r="N27" s="29"/>
      <c r="O27" s="23"/>
      <c r="P27" s="23"/>
      <c r="Q27" s="23"/>
      <c r="R27" s="23"/>
      <c r="S27" s="23"/>
      <c r="T27" s="23"/>
      <c r="U27" s="23"/>
      <c r="V27" s="23"/>
      <c r="W27" s="23"/>
      <c r="X27" s="23"/>
    </row>
    <row r="28" spans="1:24" ht="72" customHeight="1">
      <c r="A28" s="23"/>
      <c r="B28" s="23"/>
      <c r="C28" s="68"/>
      <c r="D28" s="24"/>
      <c r="E28" s="23"/>
      <c r="F28" s="23"/>
      <c r="G28" s="23"/>
      <c r="H28" s="23"/>
      <c r="I28" s="23"/>
      <c r="J28" s="23"/>
      <c r="K28" s="31"/>
      <c r="L28" s="24"/>
      <c r="M28" s="23"/>
      <c r="N28" s="29"/>
      <c r="O28" s="23"/>
      <c r="P28" s="23"/>
      <c r="Q28" s="23"/>
      <c r="R28" s="23"/>
      <c r="S28" s="23"/>
      <c r="T28" s="23"/>
      <c r="U28" s="23"/>
      <c r="V28" s="23"/>
      <c r="W28" s="23"/>
      <c r="X28" s="23"/>
    </row>
    <row r="29" spans="1:24" ht="72" customHeight="1">
      <c r="A29" s="23"/>
      <c r="B29" s="23"/>
      <c r="C29" s="68"/>
      <c r="D29" s="24"/>
      <c r="E29" s="23"/>
      <c r="F29" s="23"/>
      <c r="G29" s="23"/>
      <c r="H29" s="23"/>
      <c r="I29" s="23"/>
      <c r="J29" s="23"/>
      <c r="K29" s="30"/>
      <c r="L29" s="24"/>
      <c r="M29" s="23"/>
      <c r="N29" s="29"/>
      <c r="O29" s="23"/>
      <c r="P29" s="23"/>
      <c r="Q29" s="23"/>
      <c r="R29" s="23"/>
      <c r="S29" s="23"/>
      <c r="T29" s="23"/>
      <c r="U29" s="23"/>
      <c r="V29" s="23"/>
      <c r="W29" s="23"/>
      <c r="X29" s="23"/>
    </row>
    <row r="30" spans="1:24" ht="72" customHeight="1">
      <c r="N30" s="9"/>
      <c r="U30" s="6"/>
    </row>
    <row r="31" spans="1:24" ht="72" customHeight="1">
      <c r="U31" s="6"/>
    </row>
    <row r="32" spans="1:24" ht="72" customHeight="1">
      <c r="U32" s="6"/>
    </row>
  </sheetData>
  <dataValidations count="8">
    <dataValidation type="decimal" allowBlank="1" showInputMessage="1" showErrorMessage="1" sqref="N26:N30 N3:N13">
      <formula1>0</formula1>
      <formula2>99999999</formula2>
    </dataValidation>
    <dataValidation type="list" allowBlank="1" showInputMessage="1" showErrorMessage="1" sqref="K14:K25">
      <formula1>"Regular Registered(Vat),Registered For Turnover,Not Registered"</formula1>
    </dataValidation>
    <dataValidation type="list" allowBlank="1" showInputMessage="1" showErrorMessage="1" sqref="U14:U32 U4">
      <formula1>"Test Owner Type, Proprietorship, Private Limited ,Public Limited , International Organization, Diplomatic Mission, Government, NGO, Educational Institute, Other"</formula1>
    </dataValidation>
    <dataValidation type="textLength" operator="equal" allowBlank="1" showInputMessage="1" showErrorMessage="1" sqref="C14:C18">
      <formula1>13</formula1>
    </dataValidation>
    <dataValidation type="list" allowBlank="1" showInputMessage="1" showErrorMessage="1" sqref="K3:K13">
      <formula1>"Regular Registered (VAT), Registered For Turnover, Not Registered, Procurement Provider, Trader"</formula1>
    </dataValidation>
    <dataValidation type="list" allowBlank="1" showInputMessage="1" showErrorMessage="1" sqref="I3:I13 W3:X13 O3:S13">
      <formula1>"0,1"</formula1>
    </dataValidation>
    <dataValidation type="textLength" operator="equal" allowBlank="1" showInputMessage="1" showErrorMessage="1" sqref="D3:D13">
      <formula1>11</formula1>
    </dataValidation>
    <dataValidation type="list" showInputMessage="1" showErrorMessage="1" sqref="U3 U5:U13">
      <formula1>"Test Owner Type, Proprietorship, Private Limited ,Public Limited , International Organization, Diplomatic Mission, Government, NGO, Educational Institute, Other"</formula1>
    </dataValidation>
  </dataValidations>
  <pageMargins left="0.7" right="0.7" top="0.75" bottom="0.75" header="0.3" footer="0.3"/>
  <pageSetup scale="75" orientation="portrait" r:id="rId1"/>
  <colBreaks count="2" manualBreakCount="2">
    <brk id="1" max="31" man="1"/>
    <brk id="4" max="31" man="1"/>
  </colBreak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>
  <sheetPr codeName="Sheet4"/>
  <dimension ref="A1:AN10"/>
  <sheetViews>
    <sheetView workbookViewId="0">
      <pane ySplit="1" topLeftCell="A2" activePane="bottomLeft" state="frozen"/>
      <selection pane="bottomLeft" activeCell="A4" sqref="A4"/>
    </sheetView>
  </sheetViews>
  <sheetFormatPr defaultColWidth="9.140625" defaultRowHeight="15"/>
  <cols>
    <col min="1" max="1" width="22.28515625" customWidth="1"/>
    <col min="2" max="2" width="12.85546875" customWidth="1"/>
    <col min="3" max="3" width="20.28515625" customWidth="1"/>
    <col min="4" max="4" width="14" customWidth="1"/>
    <col min="5" max="5" width="14.85546875" customWidth="1"/>
    <col min="6" max="6" width="10.42578125" customWidth="1"/>
    <col min="8" max="8" width="13.85546875" customWidth="1"/>
    <col min="9" max="9" width="11" customWidth="1"/>
    <col min="10" max="10" width="13.28515625" customWidth="1"/>
    <col min="11" max="11" width="26.85546875" customWidth="1"/>
    <col min="14" max="14" width="10.42578125" customWidth="1"/>
    <col min="26" max="26" width="10.28515625" customWidth="1"/>
  </cols>
  <sheetData>
    <row r="1" spans="1:40" s="75" customFormat="1" ht="64.5" customHeight="1">
      <c r="A1" s="73" t="s">
        <v>88</v>
      </c>
      <c r="B1" s="73" t="s">
        <v>89</v>
      </c>
      <c r="C1" s="73" t="s">
        <v>1</v>
      </c>
      <c r="D1" s="73" t="s">
        <v>10</v>
      </c>
      <c r="E1" s="73" t="s">
        <v>349</v>
      </c>
      <c r="F1" s="73" t="s">
        <v>90</v>
      </c>
      <c r="G1" s="73" t="s">
        <v>91</v>
      </c>
      <c r="H1" s="73" t="s">
        <v>12</v>
      </c>
      <c r="I1" s="73" t="s">
        <v>92</v>
      </c>
      <c r="J1" s="73" t="s">
        <v>16</v>
      </c>
      <c r="K1" s="73" t="s">
        <v>17</v>
      </c>
      <c r="L1" s="80" t="s">
        <v>321</v>
      </c>
      <c r="M1" s="80" t="s">
        <v>322</v>
      </c>
      <c r="N1" s="74" t="s">
        <v>323</v>
      </c>
      <c r="O1" s="74" t="s">
        <v>324</v>
      </c>
      <c r="P1" s="74" t="s">
        <v>325</v>
      </c>
      <c r="Q1" s="74" t="s">
        <v>326</v>
      </c>
      <c r="R1" s="74" t="s">
        <v>327</v>
      </c>
      <c r="S1" s="74" t="s">
        <v>328</v>
      </c>
      <c r="T1" s="74" t="s">
        <v>329</v>
      </c>
      <c r="U1" s="74" t="s">
        <v>330</v>
      </c>
      <c r="V1" s="74" t="s">
        <v>331</v>
      </c>
      <c r="W1" s="74" t="s">
        <v>332</v>
      </c>
      <c r="X1" s="74" t="s">
        <v>334</v>
      </c>
      <c r="Y1" s="74" t="s">
        <v>335</v>
      </c>
      <c r="Z1" s="74" t="s">
        <v>336</v>
      </c>
      <c r="AA1" s="74" t="s">
        <v>333</v>
      </c>
      <c r="AB1" s="74" t="s">
        <v>337</v>
      </c>
      <c r="AC1" s="74" t="s">
        <v>338</v>
      </c>
      <c r="AD1" s="74" t="s">
        <v>339</v>
      </c>
      <c r="AE1" s="74" t="s">
        <v>340</v>
      </c>
      <c r="AF1" s="74" t="s">
        <v>341</v>
      </c>
      <c r="AG1" s="74" t="s">
        <v>342</v>
      </c>
      <c r="AH1" s="74" t="s">
        <v>343</v>
      </c>
      <c r="AI1" s="74" t="s">
        <v>344</v>
      </c>
      <c r="AJ1" s="74" t="s">
        <v>345</v>
      </c>
      <c r="AK1" s="74" t="s">
        <v>346</v>
      </c>
      <c r="AL1" s="74" t="s">
        <v>347</v>
      </c>
      <c r="AM1" s="74" t="s">
        <v>348</v>
      </c>
      <c r="AN1" s="74"/>
    </row>
    <row r="2" spans="1:40" s="79" customFormat="1" ht="86.25" customHeight="1">
      <c r="A2" s="76"/>
      <c r="B2" s="76" t="s">
        <v>2</v>
      </c>
      <c r="C2" s="76" t="s">
        <v>350</v>
      </c>
      <c r="D2" s="76" t="s">
        <v>10</v>
      </c>
      <c r="E2" s="76" t="s">
        <v>351</v>
      </c>
      <c r="F2" s="76" t="s">
        <v>90</v>
      </c>
      <c r="G2" s="76" t="s">
        <v>91</v>
      </c>
      <c r="H2" s="76" t="s">
        <v>8</v>
      </c>
      <c r="I2" s="76" t="s">
        <v>352</v>
      </c>
      <c r="J2" s="76" t="s">
        <v>353</v>
      </c>
      <c r="K2" s="76" t="s">
        <v>17</v>
      </c>
      <c r="L2" s="72" t="s">
        <v>75</v>
      </c>
      <c r="M2" s="72" t="s">
        <v>106</v>
      </c>
      <c r="N2" s="77" t="s">
        <v>115</v>
      </c>
      <c r="O2" s="72" t="s">
        <v>354</v>
      </c>
      <c r="P2" s="72"/>
      <c r="Q2" s="72" t="s">
        <v>355</v>
      </c>
      <c r="R2" s="72" t="s">
        <v>356</v>
      </c>
      <c r="S2" s="72" t="s">
        <v>357</v>
      </c>
      <c r="T2" s="72" t="s">
        <v>329</v>
      </c>
      <c r="U2" s="78" t="s">
        <v>366</v>
      </c>
      <c r="V2" s="72" t="s">
        <v>365</v>
      </c>
      <c r="W2" s="72" t="s">
        <v>364</v>
      </c>
      <c r="X2" s="72" t="s">
        <v>334</v>
      </c>
      <c r="Y2" s="72" t="s">
        <v>335</v>
      </c>
      <c r="Z2" s="72" t="s">
        <v>336</v>
      </c>
      <c r="AA2" s="72" t="s">
        <v>333</v>
      </c>
      <c r="AB2" s="72" t="s">
        <v>337</v>
      </c>
      <c r="AC2" s="72" t="s">
        <v>338</v>
      </c>
      <c r="AD2" s="72" t="s">
        <v>358</v>
      </c>
      <c r="AE2" s="72" t="s">
        <v>359</v>
      </c>
      <c r="AF2" s="72" t="s">
        <v>361</v>
      </c>
      <c r="AG2" s="72" t="s">
        <v>360</v>
      </c>
      <c r="AH2" s="72" t="s">
        <v>362</v>
      </c>
      <c r="AI2" s="72" t="s">
        <v>363</v>
      </c>
      <c r="AJ2" s="72" t="s">
        <v>345</v>
      </c>
      <c r="AK2" s="72" t="s">
        <v>346</v>
      </c>
      <c r="AL2" s="72" t="s">
        <v>347</v>
      </c>
      <c r="AM2" s="72" t="s">
        <v>348</v>
      </c>
      <c r="AN2" s="72"/>
    </row>
    <row r="3" spans="1:40">
      <c r="A3" t="s">
        <v>220</v>
      </c>
      <c r="B3" t="s">
        <v>20</v>
      </c>
      <c r="D3">
        <v>10</v>
      </c>
      <c r="E3">
        <v>10</v>
      </c>
      <c r="F3">
        <v>0</v>
      </c>
      <c r="G3">
        <v>0</v>
      </c>
      <c r="H3">
        <f>(D3*E3)*G3/100</f>
        <v>0</v>
      </c>
      <c r="I3">
        <f>((D3*E3)+H3)*F3/100</f>
        <v>0</v>
      </c>
      <c r="J3">
        <f>D3*E3+H3+I3</f>
        <v>100</v>
      </c>
      <c r="K3" t="s">
        <v>93</v>
      </c>
      <c r="Z3" s="71"/>
    </row>
    <row r="10" spans="1:40">
      <c r="K10" s="71"/>
    </row>
  </sheetData>
  <pageMargins left="0.7" right="0.7" top="0.75" bottom="0.75" header="0.3" footer="0.3"/>
  <pageSetup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>
  <sheetPr codeName="Sheet8"/>
  <dimension ref="A1:AE218"/>
  <sheetViews>
    <sheetView topLeftCell="H1" zoomScale="95" zoomScaleNormal="95" zoomScaleSheetLayoutView="100" workbookViewId="0">
      <selection activeCell="H1" sqref="A1:IV1"/>
    </sheetView>
  </sheetViews>
  <sheetFormatPr defaultRowHeight="15"/>
  <cols>
    <col min="1" max="1" width="13.5703125" style="6" customWidth="1"/>
    <col min="2" max="2" width="19" style="6" bestFit="1" customWidth="1"/>
    <col min="3" max="3" width="22.7109375" style="6" customWidth="1"/>
    <col min="4" max="4" width="23.5703125" style="6" customWidth="1"/>
    <col min="5" max="5" width="14.28515625" style="6" customWidth="1"/>
    <col min="6" max="6" width="12.85546875" style="6" customWidth="1"/>
    <col min="7" max="7" width="29.85546875" style="6" customWidth="1"/>
    <col min="8" max="8" width="20.7109375" style="6" customWidth="1"/>
    <col min="9" max="9" width="9.140625" style="6"/>
    <col min="10" max="10" width="10.42578125" style="6" customWidth="1"/>
    <col min="11" max="11" width="16" style="6" customWidth="1"/>
    <col min="12" max="12" width="10.42578125" style="6" customWidth="1"/>
    <col min="13" max="13" width="9.140625" style="6"/>
    <col min="14" max="14" width="15.42578125" style="6" customWidth="1"/>
    <col min="15" max="15" width="14.5703125" style="6" customWidth="1"/>
    <col min="16" max="16" width="18.140625" style="6" customWidth="1"/>
    <col min="17" max="17" width="17.42578125" style="6" customWidth="1"/>
    <col min="18" max="18" width="20.85546875" style="6" bestFit="1" customWidth="1"/>
    <col min="19" max="19" width="12.42578125" style="6" customWidth="1"/>
    <col min="20" max="20" width="12.5703125" style="6" customWidth="1"/>
    <col min="21" max="21" width="9.140625" style="6"/>
    <col min="22" max="22" width="20.5703125" style="6" customWidth="1"/>
    <col min="23" max="23" width="10.85546875" style="6" customWidth="1"/>
    <col min="24" max="27" width="9.140625" style="6"/>
    <col min="28" max="28" width="12" style="17" customWidth="1"/>
    <col min="29" max="29" width="10.85546875" style="6" bestFit="1" customWidth="1"/>
    <col min="30" max="30" width="32.85546875" style="6" customWidth="1"/>
    <col min="31" max="31" width="28.7109375" style="6" customWidth="1"/>
    <col min="32" max="16384" width="9.140625" style="6"/>
  </cols>
  <sheetData>
    <row r="1" spans="1:31" ht="30" customHeight="1">
      <c r="A1" s="58" t="s">
        <v>94</v>
      </c>
      <c r="B1" s="58" t="s">
        <v>95</v>
      </c>
      <c r="C1" s="58" t="s">
        <v>96</v>
      </c>
      <c r="D1" s="58" t="s">
        <v>97</v>
      </c>
      <c r="E1" s="58" t="s">
        <v>98</v>
      </c>
      <c r="F1" s="58" t="s">
        <v>99</v>
      </c>
      <c r="G1" s="58" t="s">
        <v>100</v>
      </c>
      <c r="H1" s="58" t="s">
        <v>101</v>
      </c>
      <c r="I1" s="58" t="s">
        <v>2</v>
      </c>
      <c r="J1" s="58" t="s">
        <v>102</v>
      </c>
      <c r="K1" s="58" t="s">
        <v>103</v>
      </c>
      <c r="L1" s="58" t="s">
        <v>104</v>
      </c>
      <c r="M1" s="58" t="s">
        <v>105</v>
      </c>
      <c r="N1" s="58" t="s">
        <v>287</v>
      </c>
      <c r="O1" s="58" t="s">
        <v>288</v>
      </c>
      <c r="P1" s="58" t="s">
        <v>289</v>
      </c>
      <c r="Q1" s="58" t="s">
        <v>290</v>
      </c>
      <c r="R1" s="58" t="s">
        <v>291</v>
      </c>
      <c r="S1" s="58" t="s">
        <v>106</v>
      </c>
      <c r="T1" s="58" t="s">
        <v>107</v>
      </c>
      <c r="U1" s="58" t="s">
        <v>108</v>
      </c>
      <c r="V1" s="58" t="s">
        <v>109</v>
      </c>
      <c r="W1" s="58" t="s">
        <v>110</v>
      </c>
      <c r="X1" s="58" t="s">
        <v>111</v>
      </c>
      <c r="Y1" s="58" t="s">
        <v>115</v>
      </c>
      <c r="Z1" s="58" t="s">
        <v>58</v>
      </c>
      <c r="AA1" s="58" t="s">
        <v>112</v>
      </c>
      <c r="AB1" s="59" t="s">
        <v>116</v>
      </c>
      <c r="AC1" s="58" t="s">
        <v>165</v>
      </c>
      <c r="AD1" s="58" t="s">
        <v>279</v>
      </c>
      <c r="AE1" s="58" t="s">
        <v>281</v>
      </c>
    </row>
    <row r="2" spans="1:31" s="55" customFormat="1" ht="36" customHeight="1">
      <c r="A2" s="55" t="s">
        <v>94</v>
      </c>
      <c r="B2" s="55" t="s">
        <v>95</v>
      </c>
      <c r="C2" s="55" t="s">
        <v>96</v>
      </c>
      <c r="D2" s="55" t="s">
        <v>97</v>
      </c>
      <c r="E2" s="55" t="s">
        <v>98</v>
      </c>
      <c r="F2" s="55" t="s">
        <v>99</v>
      </c>
      <c r="G2" s="55" t="s">
        <v>100</v>
      </c>
      <c r="H2" s="55" t="s">
        <v>101</v>
      </c>
      <c r="I2" s="55" t="s">
        <v>2</v>
      </c>
      <c r="J2" s="55" t="s">
        <v>102</v>
      </c>
      <c r="K2" s="55" t="s">
        <v>103</v>
      </c>
      <c r="L2" s="55" t="s">
        <v>104</v>
      </c>
      <c r="M2" s="55" t="s">
        <v>105</v>
      </c>
      <c r="N2" s="55" t="s">
        <v>282</v>
      </c>
      <c r="O2" s="55" t="s">
        <v>283</v>
      </c>
      <c r="P2" s="55" t="s">
        <v>284</v>
      </c>
      <c r="Q2" s="55" t="s">
        <v>285</v>
      </c>
      <c r="R2" s="55" t="s">
        <v>286</v>
      </c>
      <c r="S2" s="55" t="s">
        <v>106</v>
      </c>
      <c r="T2" s="55" t="s">
        <v>107</v>
      </c>
      <c r="U2" s="55" t="s">
        <v>108</v>
      </c>
      <c r="V2" s="55" t="s">
        <v>109</v>
      </c>
      <c r="W2" s="55" t="s">
        <v>110</v>
      </c>
      <c r="X2" s="55" t="s">
        <v>111</v>
      </c>
      <c r="Y2" s="55" t="s">
        <v>115</v>
      </c>
      <c r="Z2" s="55" t="s">
        <v>58</v>
      </c>
      <c r="AA2" s="56" t="s">
        <v>112</v>
      </c>
      <c r="AB2" s="57" t="s">
        <v>116</v>
      </c>
      <c r="AC2" s="55" t="s">
        <v>165</v>
      </c>
      <c r="AD2" s="55" t="s">
        <v>278</v>
      </c>
      <c r="AE2" s="55" t="s">
        <v>280</v>
      </c>
    </row>
    <row r="3" spans="1:31" ht="15" customHeight="1">
      <c r="A3" s="6" t="s">
        <v>292</v>
      </c>
      <c r="B3" s="6" t="s">
        <v>219</v>
      </c>
      <c r="C3" s="6" t="s">
        <v>315</v>
      </c>
      <c r="F3" s="6" t="s">
        <v>164</v>
      </c>
      <c r="G3" s="6" t="s">
        <v>219</v>
      </c>
      <c r="I3" s="6" t="s">
        <v>294</v>
      </c>
      <c r="J3" s="6" t="s">
        <v>293</v>
      </c>
      <c r="K3" s="6">
        <v>10</v>
      </c>
      <c r="N3" s="60"/>
      <c r="O3" s="60"/>
      <c r="P3" s="60"/>
      <c r="Q3" s="60"/>
      <c r="R3" s="60"/>
      <c r="S3" s="60" t="b">
        <v>0</v>
      </c>
      <c r="T3" s="60" t="b">
        <v>0</v>
      </c>
      <c r="U3" s="60" t="b">
        <v>0</v>
      </c>
      <c r="V3" s="60" t="b">
        <v>0</v>
      </c>
      <c r="W3" s="60" t="b">
        <v>0</v>
      </c>
      <c r="X3" s="60" t="b">
        <v>0</v>
      </c>
      <c r="Y3" s="60" t="b">
        <v>0</v>
      </c>
      <c r="Z3" s="60" t="b">
        <v>0</v>
      </c>
      <c r="AA3" s="6">
        <v>1</v>
      </c>
      <c r="AC3" s="60" t="b">
        <v>0</v>
      </c>
      <c r="AD3" s="60" t="b">
        <v>0</v>
      </c>
      <c r="AE3" s="60" t="b">
        <v>0</v>
      </c>
    </row>
    <row r="4" spans="1:31" ht="15" customHeight="1">
      <c r="A4" s="6" t="s">
        <v>292</v>
      </c>
      <c r="B4" s="6" t="s">
        <v>219</v>
      </c>
      <c r="C4" s="6" t="s">
        <v>313</v>
      </c>
      <c r="F4" s="6" t="s">
        <v>164</v>
      </c>
      <c r="G4" s="6" t="s">
        <v>219</v>
      </c>
      <c r="H4" s="6" t="s">
        <v>219</v>
      </c>
      <c r="I4" s="6" t="s">
        <v>294</v>
      </c>
      <c r="J4" s="6" t="s">
        <v>314</v>
      </c>
      <c r="K4" s="6">
        <v>0</v>
      </c>
      <c r="N4" s="60"/>
      <c r="O4" s="60"/>
      <c r="P4" s="60"/>
      <c r="Q4" s="60"/>
      <c r="R4" s="60"/>
      <c r="S4" s="60" t="b">
        <v>0</v>
      </c>
      <c r="T4" s="60" t="b">
        <v>0</v>
      </c>
      <c r="U4" s="60" t="b">
        <v>0</v>
      </c>
      <c r="V4" s="60" t="b">
        <v>0</v>
      </c>
      <c r="W4" s="60" t="b">
        <v>0</v>
      </c>
      <c r="X4" s="60" t="b">
        <v>0</v>
      </c>
      <c r="Y4" s="60" t="b">
        <v>0</v>
      </c>
      <c r="Z4" s="60" t="b">
        <v>0</v>
      </c>
      <c r="AC4" s="60" t="b">
        <v>0</v>
      </c>
      <c r="AD4" s="60" t="b">
        <v>0</v>
      </c>
      <c r="AE4" s="60" t="b">
        <v>0</v>
      </c>
    </row>
    <row r="5" spans="1:31">
      <c r="A5" s="6" t="s">
        <v>292</v>
      </c>
      <c r="B5" s="6" t="s">
        <v>219</v>
      </c>
      <c r="C5" s="6" t="s">
        <v>316</v>
      </c>
      <c r="F5" s="6" t="s">
        <v>164</v>
      </c>
      <c r="G5" s="6" t="s">
        <v>219</v>
      </c>
      <c r="H5" s="6" t="s">
        <v>219</v>
      </c>
      <c r="I5" s="6" t="s">
        <v>294</v>
      </c>
      <c r="J5" s="6" t="s">
        <v>293</v>
      </c>
      <c r="K5" s="6">
        <v>10</v>
      </c>
      <c r="N5" s="60"/>
      <c r="O5" s="60"/>
      <c r="P5" s="60"/>
      <c r="Q5" s="60"/>
      <c r="R5" s="60"/>
      <c r="S5" s="60" t="b">
        <v>0</v>
      </c>
      <c r="T5" s="60" t="b">
        <v>0</v>
      </c>
      <c r="U5" s="60" t="b">
        <v>0</v>
      </c>
      <c r="V5" s="60" t="b">
        <v>0</v>
      </c>
      <c r="W5" s="60" t="b">
        <v>0</v>
      </c>
      <c r="X5" s="60" t="b">
        <v>0</v>
      </c>
      <c r="Y5" s="60" t="b">
        <v>0</v>
      </c>
      <c r="Z5" s="60" t="b">
        <v>0</v>
      </c>
      <c r="AC5" s="60" t="b">
        <v>0</v>
      </c>
      <c r="AD5" s="60" t="b">
        <v>0</v>
      </c>
      <c r="AE5" s="60" t="b">
        <v>0</v>
      </c>
    </row>
    <row r="6" spans="1:31">
      <c r="A6" s="6" t="s">
        <v>292</v>
      </c>
      <c r="B6" s="6" t="s">
        <v>317</v>
      </c>
      <c r="C6" s="6" t="s">
        <v>318</v>
      </c>
      <c r="F6" s="6" t="s">
        <v>319</v>
      </c>
      <c r="G6" s="6" t="s">
        <v>319</v>
      </c>
      <c r="H6" s="6" t="s">
        <v>219</v>
      </c>
      <c r="I6" s="6" t="s">
        <v>294</v>
      </c>
      <c r="J6" s="70">
        <v>85.17</v>
      </c>
      <c r="K6" s="6">
        <v>62.6</v>
      </c>
      <c r="N6" s="60"/>
      <c r="O6" s="60"/>
      <c r="P6" s="60"/>
      <c r="Q6" s="60"/>
      <c r="R6" s="60"/>
      <c r="S6" s="60" t="b">
        <v>0</v>
      </c>
      <c r="T6" s="60" t="b">
        <v>0</v>
      </c>
      <c r="U6" s="60" t="b">
        <v>0</v>
      </c>
      <c r="V6" s="60" t="b">
        <v>0</v>
      </c>
      <c r="W6" s="60" t="b">
        <v>0</v>
      </c>
      <c r="X6" s="60" t="b">
        <v>0</v>
      </c>
      <c r="Y6" s="60" t="b">
        <v>0</v>
      </c>
      <c r="Z6" s="60" t="b">
        <v>0</v>
      </c>
      <c r="AC6" s="60" t="b">
        <v>0</v>
      </c>
      <c r="AD6" s="60" t="b">
        <v>0</v>
      </c>
      <c r="AE6" s="60" t="b">
        <v>0</v>
      </c>
    </row>
    <row r="7" spans="1:31" ht="30">
      <c r="A7" s="6" t="s">
        <v>292</v>
      </c>
      <c r="B7" s="6" t="s">
        <v>317</v>
      </c>
      <c r="C7" s="6" t="s">
        <v>320</v>
      </c>
      <c r="F7" s="6" t="s">
        <v>319</v>
      </c>
      <c r="G7" s="6" t="s">
        <v>319</v>
      </c>
      <c r="H7" s="6" t="s">
        <v>219</v>
      </c>
      <c r="I7" s="6" t="s">
        <v>294</v>
      </c>
      <c r="J7" s="6">
        <v>85.23</v>
      </c>
      <c r="K7" s="6">
        <v>49.21</v>
      </c>
      <c r="N7" s="60"/>
      <c r="O7" s="60"/>
      <c r="P7" s="60"/>
      <c r="Q7" s="60"/>
      <c r="R7" s="60"/>
      <c r="S7" s="60" t="b">
        <v>0</v>
      </c>
      <c r="T7" s="60" t="b">
        <v>0</v>
      </c>
      <c r="U7" s="60" t="b">
        <v>0</v>
      </c>
      <c r="V7" s="60" t="b">
        <v>0</v>
      </c>
      <c r="W7" s="60" t="b">
        <v>0</v>
      </c>
      <c r="X7" s="60" t="b">
        <v>0</v>
      </c>
      <c r="Y7" s="60" t="b">
        <v>0</v>
      </c>
      <c r="Z7" s="60" t="b">
        <v>0</v>
      </c>
      <c r="AC7" s="60" t="b">
        <v>0</v>
      </c>
      <c r="AD7" s="60" t="b">
        <v>0</v>
      </c>
      <c r="AE7" s="60" t="b">
        <v>0</v>
      </c>
    </row>
    <row r="8" spans="1:31" ht="15.95" customHeight="1">
      <c r="N8" s="60"/>
      <c r="O8" s="60"/>
      <c r="P8" s="60"/>
      <c r="Q8" s="60"/>
      <c r="R8" s="60"/>
      <c r="S8" s="60"/>
      <c r="T8" s="60"/>
      <c r="U8" s="60"/>
      <c r="V8" s="60"/>
      <c r="W8" s="60"/>
      <c r="X8" s="60"/>
      <c r="Y8" s="60"/>
      <c r="Z8" s="60"/>
      <c r="AC8" s="60"/>
      <c r="AD8" s="60"/>
      <c r="AE8" s="60"/>
    </row>
    <row r="9" spans="1:31">
      <c r="N9" s="60"/>
      <c r="O9" s="60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  <c r="AC9" s="60"/>
      <c r="AD9" s="60"/>
      <c r="AE9" s="60"/>
    </row>
    <row r="10" spans="1:31">
      <c r="Y10" s="61"/>
      <c r="Z10" s="61"/>
      <c r="AC10" s="61"/>
    </row>
    <row r="11" spans="1:31">
      <c r="Y11" s="61"/>
      <c r="Z11" s="61"/>
      <c r="AC11" s="61"/>
    </row>
    <row r="12" spans="1:31">
      <c r="Y12" s="61"/>
      <c r="Z12" s="61"/>
      <c r="AC12" s="61"/>
    </row>
    <row r="13" spans="1:31">
      <c r="Y13" s="61"/>
      <c r="Z13" s="61"/>
      <c r="AC13" s="61"/>
    </row>
    <row r="14" spans="1:31">
      <c r="Y14" s="61"/>
      <c r="Z14" s="61"/>
      <c r="AC14" s="61"/>
    </row>
    <row r="15" spans="1:31">
      <c r="Y15" s="61"/>
      <c r="Z15" s="61"/>
      <c r="AC15" s="61"/>
    </row>
    <row r="16" spans="1:31">
      <c r="Y16" s="61"/>
      <c r="Z16" s="61"/>
      <c r="AC16" s="61"/>
    </row>
    <row r="17" spans="12:29">
      <c r="Y17" s="61"/>
      <c r="Z17" s="61"/>
      <c r="AC17" s="61"/>
    </row>
    <row r="18" spans="12:29">
      <c r="Y18" s="61"/>
      <c r="Z18" s="61"/>
      <c r="AC18" s="61"/>
    </row>
    <row r="19" spans="12:29">
      <c r="Y19" s="61"/>
      <c r="Z19" s="61"/>
      <c r="AC19" s="61"/>
    </row>
    <row r="20" spans="12:29">
      <c r="Y20" s="61"/>
      <c r="Z20" s="61"/>
      <c r="AC20" s="61"/>
    </row>
    <row r="21" spans="12:29">
      <c r="Y21" s="61"/>
      <c r="Z21" s="61"/>
      <c r="AC21" s="61"/>
    </row>
    <row r="22" spans="12:29">
      <c r="Y22" s="61"/>
      <c r="Z22" s="61"/>
      <c r="AC22" s="61"/>
    </row>
    <row r="23" spans="12:29">
      <c r="L23" s="6" t="str">
        <f t="shared" ref="L23:L67" si="0">J23&amp;K23</f>
        <v/>
      </c>
      <c r="Y23" s="61"/>
      <c r="Z23" s="61"/>
      <c r="AC23" s="61"/>
    </row>
    <row r="24" spans="12:29">
      <c r="L24" s="6" t="str">
        <f t="shared" si="0"/>
        <v/>
      </c>
      <c r="Y24" s="61"/>
      <c r="Z24" s="61"/>
      <c r="AC24" s="61"/>
    </row>
    <row r="25" spans="12:29">
      <c r="L25" s="6" t="str">
        <f t="shared" si="0"/>
        <v/>
      </c>
      <c r="Y25" s="61"/>
      <c r="Z25" s="61"/>
      <c r="AC25" s="61"/>
    </row>
    <row r="26" spans="12:29">
      <c r="L26" s="6" t="str">
        <f t="shared" si="0"/>
        <v/>
      </c>
      <c r="Y26" s="61"/>
      <c r="Z26" s="61"/>
      <c r="AC26" s="61"/>
    </row>
    <row r="27" spans="12:29">
      <c r="L27" s="6" t="str">
        <f t="shared" si="0"/>
        <v/>
      </c>
      <c r="Y27" s="61"/>
      <c r="Z27" s="61"/>
      <c r="AC27" s="61"/>
    </row>
    <row r="28" spans="12:29">
      <c r="L28" s="6" t="str">
        <f t="shared" si="0"/>
        <v/>
      </c>
      <c r="Y28" s="61"/>
      <c r="Z28" s="61"/>
      <c r="AC28" s="61"/>
    </row>
    <row r="29" spans="12:29">
      <c r="L29" s="6" t="str">
        <f t="shared" si="0"/>
        <v/>
      </c>
      <c r="Y29" s="61"/>
      <c r="Z29" s="61"/>
      <c r="AC29" s="61"/>
    </row>
    <row r="30" spans="12:29">
      <c r="L30" s="6" t="str">
        <f t="shared" si="0"/>
        <v/>
      </c>
      <c r="Y30" s="61"/>
      <c r="Z30" s="61"/>
      <c r="AC30" s="61"/>
    </row>
    <row r="31" spans="12:29">
      <c r="L31" s="6" t="str">
        <f t="shared" si="0"/>
        <v/>
      </c>
      <c r="Y31" s="61"/>
      <c r="Z31" s="61"/>
      <c r="AC31" s="61"/>
    </row>
    <row r="32" spans="12:29">
      <c r="L32" s="6" t="str">
        <f t="shared" si="0"/>
        <v/>
      </c>
      <c r="Y32" s="61"/>
      <c r="Z32" s="61"/>
      <c r="AC32" s="61"/>
    </row>
    <row r="33" spans="12:29">
      <c r="L33" s="6" t="str">
        <f t="shared" si="0"/>
        <v/>
      </c>
      <c r="Y33" s="61"/>
      <c r="Z33" s="61"/>
      <c r="AC33" s="61"/>
    </row>
    <row r="34" spans="12:29">
      <c r="L34" s="6" t="str">
        <f t="shared" si="0"/>
        <v/>
      </c>
      <c r="Y34" s="61"/>
      <c r="Z34" s="61"/>
      <c r="AC34" s="61"/>
    </row>
    <row r="35" spans="12:29">
      <c r="L35" s="6" t="str">
        <f t="shared" si="0"/>
        <v/>
      </c>
      <c r="Y35" s="61"/>
      <c r="Z35" s="61"/>
      <c r="AC35" s="61"/>
    </row>
    <row r="36" spans="12:29">
      <c r="L36" s="6" t="str">
        <f t="shared" si="0"/>
        <v/>
      </c>
      <c r="Y36" s="61"/>
      <c r="Z36" s="61"/>
      <c r="AC36" s="61"/>
    </row>
    <row r="37" spans="12:29">
      <c r="L37" s="6" t="str">
        <f t="shared" si="0"/>
        <v/>
      </c>
      <c r="Y37" s="61"/>
      <c r="Z37" s="61"/>
      <c r="AC37" s="61"/>
    </row>
    <row r="38" spans="12:29">
      <c r="L38" s="6" t="str">
        <f t="shared" si="0"/>
        <v/>
      </c>
      <c r="Y38" s="61"/>
      <c r="Z38" s="61"/>
      <c r="AC38" s="61"/>
    </row>
    <row r="39" spans="12:29">
      <c r="L39" s="6" t="str">
        <f t="shared" si="0"/>
        <v/>
      </c>
      <c r="Y39" s="61"/>
      <c r="Z39" s="61"/>
      <c r="AC39" s="61"/>
    </row>
    <row r="40" spans="12:29">
      <c r="L40" s="6" t="str">
        <f t="shared" si="0"/>
        <v/>
      </c>
      <c r="Y40" s="61"/>
      <c r="Z40" s="61"/>
      <c r="AC40" s="61"/>
    </row>
    <row r="41" spans="12:29">
      <c r="L41" s="6" t="str">
        <f t="shared" si="0"/>
        <v/>
      </c>
      <c r="Y41" s="61"/>
      <c r="Z41" s="61"/>
      <c r="AC41" s="61"/>
    </row>
    <row r="42" spans="12:29">
      <c r="L42" s="6" t="str">
        <f t="shared" si="0"/>
        <v/>
      </c>
      <c r="Y42" s="61"/>
      <c r="Z42" s="61"/>
      <c r="AC42" s="61"/>
    </row>
    <row r="43" spans="12:29">
      <c r="L43" s="6" t="str">
        <f t="shared" si="0"/>
        <v/>
      </c>
      <c r="Y43" s="61"/>
      <c r="Z43" s="61"/>
      <c r="AC43" s="61"/>
    </row>
    <row r="44" spans="12:29">
      <c r="L44" s="6" t="str">
        <f t="shared" si="0"/>
        <v/>
      </c>
      <c r="Y44" s="61"/>
      <c r="Z44" s="61"/>
      <c r="AC44" s="61"/>
    </row>
    <row r="45" spans="12:29">
      <c r="L45" s="6" t="str">
        <f t="shared" si="0"/>
        <v/>
      </c>
      <c r="Y45" s="61"/>
      <c r="Z45" s="61"/>
      <c r="AC45" s="61"/>
    </row>
    <row r="46" spans="12:29">
      <c r="L46" s="6" t="str">
        <f t="shared" si="0"/>
        <v/>
      </c>
      <c r="Y46" s="61"/>
      <c r="Z46" s="61"/>
      <c r="AC46" s="61"/>
    </row>
    <row r="47" spans="12:29">
      <c r="L47" s="6" t="str">
        <f t="shared" si="0"/>
        <v/>
      </c>
      <c r="Y47" s="61"/>
      <c r="Z47" s="61"/>
      <c r="AC47" s="61"/>
    </row>
    <row r="48" spans="12:29">
      <c r="L48" s="6" t="str">
        <f t="shared" si="0"/>
        <v/>
      </c>
      <c r="Y48" s="61"/>
      <c r="Z48" s="61"/>
      <c r="AC48" s="61"/>
    </row>
    <row r="49" spans="12:29">
      <c r="L49" s="6" t="str">
        <f t="shared" si="0"/>
        <v/>
      </c>
      <c r="Y49" s="61"/>
      <c r="Z49" s="61"/>
      <c r="AC49" s="61"/>
    </row>
    <row r="50" spans="12:29">
      <c r="L50" s="6" t="str">
        <f t="shared" si="0"/>
        <v/>
      </c>
      <c r="Y50" s="61"/>
      <c r="Z50" s="61"/>
      <c r="AC50" s="61"/>
    </row>
    <row r="51" spans="12:29">
      <c r="L51" s="6" t="str">
        <f t="shared" si="0"/>
        <v/>
      </c>
      <c r="Y51" s="61"/>
      <c r="Z51" s="61"/>
      <c r="AC51" s="61"/>
    </row>
    <row r="52" spans="12:29">
      <c r="L52" s="6" t="str">
        <f t="shared" si="0"/>
        <v/>
      </c>
      <c r="Y52" s="61"/>
      <c r="Z52" s="61"/>
      <c r="AC52" s="61"/>
    </row>
    <row r="53" spans="12:29">
      <c r="L53" s="6" t="str">
        <f t="shared" si="0"/>
        <v/>
      </c>
      <c r="Y53" s="61"/>
      <c r="Z53" s="61"/>
      <c r="AC53" s="61"/>
    </row>
    <row r="54" spans="12:29">
      <c r="L54" s="6" t="str">
        <f t="shared" si="0"/>
        <v/>
      </c>
      <c r="Y54" s="61"/>
      <c r="Z54" s="61"/>
      <c r="AC54" s="61"/>
    </row>
    <row r="55" spans="12:29">
      <c r="L55" s="6" t="str">
        <f t="shared" si="0"/>
        <v/>
      </c>
      <c r="Y55" s="61"/>
      <c r="Z55" s="61"/>
      <c r="AC55" s="61"/>
    </row>
    <row r="56" spans="12:29">
      <c r="L56" s="6" t="str">
        <f t="shared" si="0"/>
        <v/>
      </c>
      <c r="Y56" s="61"/>
      <c r="Z56" s="61"/>
      <c r="AC56" s="61"/>
    </row>
    <row r="57" spans="12:29">
      <c r="L57" s="6" t="str">
        <f t="shared" si="0"/>
        <v/>
      </c>
      <c r="Y57" s="61"/>
      <c r="Z57" s="61"/>
      <c r="AC57" s="61"/>
    </row>
    <row r="58" spans="12:29">
      <c r="L58" s="6" t="str">
        <f t="shared" si="0"/>
        <v/>
      </c>
      <c r="Y58" s="61"/>
      <c r="Z58" s="61"/>
      <c r="AC58" s="61"/>
    </row>
    <row r="59" spans="12:29">
      <c r="L59" s="6" t="str">
        <f t="shared" si="0"/>
        <v/>
      </c>
      <c r="Y59" s="61"/>
      <c r="Z59" s="61"/>
      <c r="AC59" s="61"/>
    </row>
    <row r="60" spans="12:29">
      <c r="L60" s="6" t="str">
        <f t="shared" si="0"/>
        <v/>
      </c>
      <c r="Y60" s="61"/>
      <c r="Z60" s="61"/>
      <c r="AC60" s="61"/>
    </row>
    <row r="61" spans="12:29">
      <c r="L61" s="6" t="str">
        <f t="shared" si="0"/>
        <v/>
      </c>
      <c r="Y61" s="61"/>
      <c r="Z61" s="61"/>
      <c r="AC61" s="61"/>
    </row>
    <row r="62" spans="12:29">
      <c r="L62" s="6" t="str">
        <f t="shared" si="0"/>
        <v/>
      </c>
      <c r="Y62" s="61"/>
      <c r="Z62" s="61"/>
      <c r="AC62" s="61"/>
    </row>
    <row r="63" spans="12:29">
      <c r="L63" s="6" t="str">
        <f t="shared" si="0"/>
        <v/>
      </c>
      <c r="Y63" s="61"/>
      <c r="Z63" s="61"/>
      <c r="AC63" s="61"/>
    </row>
    <row r="64" spans="12:29">
      <c r="L64" s="6" t="str">
        <f t="shared" si="0"/>
        <v/>
      </c>
      <c r="Y64" s="61"/>
      <c r="Z64" s="61"/>
      <c r="AC64" s="61"/>
    </row>
    <row r="65" spans="12:29">
      <c r="L65" s="6" t="str">
        <f t="shared" si="0"/>
        <v/>
      </c>
      <c r="Y65" s="61"/>
      <c r="Z65" s="61"/>
      <c r="AC65" s="61"/>
    </row>
    <row r="66" spans="12:29">
      <c r="L66" s="6" t="str">
        <f t="shared" si="0"/>
        <v/>
      </c>
      <c r="Y66" s="61"/>
      <c r="Z66" s="61"/>
      <c r="AC66" s="61"/>
    </row>
    <row r="67" spans="12:29">
      <c r="L67" s="6" t="str">
        <f t="shared" si="0"/>
        <v/>
      </c>
      <c r="Y67" s="61"/>
      <c r="Z67" s="61"/>
      <c r="AC67" s="61"/>
    </row>
    <row r="68" spans="12:29">
      <c r="L68" s="6" t="str">
        <f t="shared" ref="L68:L131" si="1">J68&amp;K68</f>
        <v/>
      </c>
      <c r="Y68" s="61"/>
      <c r="Z68" s="61"/>
      <c r="AC68" s="61"/>
    </row>
    <row r="69" spans="12:29">
      <c r="L69" s="6" t="str">
        <f t="shared" si="1"/>
        <v/>
      </c>
      <c r="Y69" s="61"/>
      <c r="Z69" s="61"/>
      <c r="AC69" s="61"/>
    </row>
    <row r="70" spans="12:29">
      <c r="L70" s="6" t="str">
        <f t="shared" si="1"/>
        <v/>
      </c>
      <c r="Y70" s="61"/>
      <c r="Z70" s="61"/>
      <c r="AC70" s="61"/>
    </row>
    <row r="71" spans="12:29">
      <c r="L71" s="6" t="str">
        <f t="shared" si="1"/>
        <v/>
      </c>
      <c r="Y71" s="61"/>
      <c r="Z71" s="61"/>
      <c r="AC71" s="61"/>
    </row>
    <row r="72" spans="12:29">
      <c r="L72" s="6" t="str">
        <f t="shared" si="1"/>
        <v/>
      </c>
      <c r="Y72" s="61"/>
      <c r="Z72" s="61"/>
      <c r="AC72" s="61"/>
    </row>
    <row r="73" spans="12:29">
      <c r="L73" s="6" t="str">
        <f t="shared" si="1"/>
        <v/>
      </c>
      <c r="Y73" s="61"/>
      <c r="Z73" s="61"/>
      <c r="AC73" s="61"/>
    </row>
    <row r="74" spans="12:29">
      <c r="L74" s="6" t="str">
        <f t="shared" si="1"/>
        <v/>
      </c>
      <c r="Y74" s="61"/>
      <c r="Z74" s="61"/>
      <c r="AC74" s="61"/>
    </row>
    <row r="75" spans="12:29">
      <c r="L75" s="6" t="str">
        <f t="shared" si="1"/>
        <v/>
      </c>
      <c r="Y75" s="61"/>
      <c r="Z75" s="61"/>
      <c r="AC75" s="61"/>
    </row>
    <row r="76" spans="12:29">
      <c r="L76" s="6" t="str">
        <f t="shared" si="1"/>
        <v/>
      </c>
      <c r="Y76" s="61"/>
      <c r="Z76" s="61"/>
      <c r="AC76" s="61"/>
    </row>
    <row r="77" spans="12:29">
      <c r="L77" s="6" t="str">
        <f t="shared" si="1"/>
        <v/>
      </c>
      <c r="Y77" s="61"/>
      <c r="Z77" s="61"/>
      <c r="AC77" s="61"/>
    </row>
    <row r="78" spans="12:29">
      <c r="L78" s="6" t="str">
        <f t="shared" si="1"/>
        <v/>
      </c>
      <c r="Y78" s="61"/>
      <c r="Z78" s="61"/>
      <c r="AC78" s="61"/>
    </row>
    <row r="79" spans="12:29">
      <c r="L79" s="6" t="str">
        <f t="shared" si="1"/>
        <v/>
      </c>
      <c r="Y79" s="61"/>
      <c r="Z79" s="61"/>
      <c r="AC79" s="61"/>
    </row>
    <row r="80" spans="12:29">
      <c r="L80" s="6" t="str">
        <f t="shared" si="1"/>
        <v/>
      </c>
      <c r="Y80" s="61"/>
      <c r="Z80" s="61"/>
      <c r="AC80" s="61"/>
    </row>
    <row r="81" spans="12:29">
      <c r="L81" s="6" t="str">
        <f t="shared" si="1"/>
        <v/>
      </c>
      <c r="Y81" s="61"/>
      <c r="Z81" s="61"/>
      <c r="AC81" s="61"/>
    </row>
    <row r="82" spans="12:29">
      <c r="L82" s="6" t="str">
        <f t="shared" si="1"/>
        <v/>
      </c>
      <c r="Y82" s="61"/>
      <c r="Z82" s="61"/>
      <c r="AC82" s="61"/>
    </row>
    <row r="83" spans="12:29">
      <c r="L83" s="6" t="str">
        <f t="shared" si="1"/>
        <v/>
      </c>
      <c r="Y83" s="61"/>
      <c r="Z83" s="61"/>
      <c r="AC83" s="61"/>
    </row>
    <row r="84" spans="12:29">
      <c r="L84" s="6" t="str">
        <f t="shared" si="1"/>
        <v/>
      </c>
      <c r="Y84" s="61"/>
      <c r="Z84" s="61"/>
      <c r="AC84" s="61"/>
    </row>
    <row r="85" spans="12:29">
      <c r="L85" s="6" t="str">
        <f t="shared" si="1"/>
        <v/>
      </c>
      <c r="Y85" s="61"/>
      <c r="Z85" s="61"/>
      <c r="AC85" s="61"/>
    </row>
    <row r="86" spans="12:29">
      <c r="L86" s="6" t="str">
        <f t="shared" si="1"/>
        <v/>
      </c>
      <c r="Y86" s="61"/>
      <c r="Z86" s="61"/>
      <c r="AC86" s="61"/>
    </row>
    <row r="87" spans="12:29">
      <c r="L87" s="6" t="str">
        <f t="shared" si="1"/>
        <v/>
      </c>
      <c r="Y87" s="61"/>
      <c r="Z87" s="61"/>
      <c r="AC87" s="61"/>
    </row>
    <row r="88" spans="12:29">
      <c r="L88" s="6" t="str">
        <f t="shared" si="1"/>
        <v/>
      </c>
      <c r="Y88" s="61"/>
      <c r="Z88" s="61"/>
      <c r="AC88" s="61"/>
    </row>
    <row r="89" spans="12:29">
      <c r="L89" s="6" t="str">
        <f t="shared" si="1"/>
        <v/>
      </c>
      <c r="Y89" s="61"/>
      <c r="Z89" s="61"/>
      <c r="AC89" s="61"/>
    </row>
    <row r="90" spans="12:29">
      <c r="L90" s="6" t="str">
        <f t="shared" si="1"/>
        <v/>
      </c>
      <c r="Y90" s="61"/>
      <c r="Z90" s="61"/>
      <c r="AC90" s="61"/>
    </row>
    <row r="91" spans="12:29">
      <c r="L91" s="6" t="str">
        <f t="shared" si="1"/>
        <v/>
      </c>
      <c r="Y91" s="61"/>
      <c r="Z91" s="61"/>
      <c r="AC91" s="61"/>
    </row>
    <row r="92" spans="12:29">
      <c r="L92" s="6" t="str">
        <f t="shared" si="1"/>
        <v/>
      </c>
      <c r="Y92" s="61"/>
      <c r="Z92" s="61"/>
      <c r="AC92" s="61"/>
    </row>
    <row r="93" spans="12:29">
      <c r="L93" s="6" t="str">
        <f t="shared" si="1"/>
        <v/>
      </c>
      <c r="Y93" s="61"/>
      <c r="Z93" s="61"/>
      <c r="AC93" s="61"/>
    </row>
    <row r="94" spans="12:29">
      <c r="L94" s="6" t="str">
        <f t="shared" si="1"/>
        <v/>
      </c>
      <c r="Y94" s="61"/>
      <c r="Z94" s="61"/>
      <c r="AC94" s="61"/>
    </row>
    <row r="95" spans="12:29">
      <c r="L95" s="6" t="str">
        <f t="shared" si="1"/>
        <v/>
      </c>
      <c r="Y95" s="61"/>
      <c r="Z95" s="61"/>
      <c r="AC95" s="61"/>
    </row>
    <row r="96" spans="12:29">
      <c r="L96" s="6" t="str">
        <f t="shared" si="1"/>
        <v/>
      </c>
      <c r="Y96" s="61"/>
      <c r="Z96" s="61"/>
      <c r="AC96" s="61"/>
    </row>
    <row r="97" spans="12:29">
      <c r="L97" s="6" t="str">
        <f t="shared" si="1"/>
        <v/>
      </c>
      <c r="Y97" s="61"/>
      <c r="Z97" s="61"/>
      <c r="AC97" s="61"/>
    </row>
    <row r="98" spans="12:29">
      <c r="L98" s="6" t="str">
        <f t="shared" si="1"/>
        <v/>
      </c>
      <c r="Y98" s="61"/>
      <c r="Z98" s="61"/>
      <c r="AC98" s="61"/>
    </row>
    <row r="99" spans="12:29">
      <c r="L99" s="6" t="str">
        <f t="shared" si="1"/>
        <v/>
      </c>
      <c r="Y99" s="61"/>
      <c r="Z99" s="61"/>
      <c r="AC99" s="61"/>
    </row>
    <row r="100" spans="12:29">
      <c r="L100" s="6" t="str">
        <f t="shared" si="1"/>
        <v/>
      </c>
      <c r="Y100" s="61"/>
      <c r="Z100" s="61"/>
      <c r="AC100" s="61"/>
    </row>
    <row r="101" spans="12:29">
      <c r="L101" s="6" t="str">
        <f t="shared" si="1"/>
        <v/>
      </c>
      <c r="Y101" s="61"/>
      <c r="Z101" s="61"/>
      <c r="AC101" s="61"/>
    </row>
    <row r="102" spans="12:29">
      <c r="L102" s="6" t="str">
        <f t="shared" si="1"/>
        <v/>
      </c>
      <c r="Y102" s="61"/>
      <c r="Z102" s="61"/>
      <c r="AC102" s="61"/>
    </row>
    <row r="103" spans="12:29">
      <c r="L103" s="6" t="str">
        <f t="shared" si="1"/>
        <v/>
      </c>
      <c r="Y103" s="61"/>
      <c r="Z103" s="61"/>
      <c r="AC103" s="61"/>
    </row>
    <row r="104" spans="12:29">
      <c r="L104" s="6" t="str">
        <f t="shared" si="1"/>
        <v/>
      </c>
      <c r="Y104" s="61"/>
      <c r="Z104" s="61"/>
      <c r="AC104" s="61"/>
    </row>
    <row r="105" spans="12:29">
      <c r="L105" s="6" t="str">
        <f t="shared" si="1"/>
        <v/>
      </c>
      <c r="Y105" s="61"/>
      <c r="Z105" s="61"/>
      <c r="AC105" s="61"/>
    </row>
    <row r="106" spans="12:29">
      <c r="L106" s="6" t="str">
        <f t="shared" si="1"/>
        <v/>
      </c>
      <c r="Y106" s="61"/>
      <c r="Z106" s="61"/>
      <c r="AC106" s="61"/>
    </row>
    <row r="107" spans="12:29">
      <c r="L107" s="6" t="str">
        <f t="shared" si="1"/>
        <v/>
      </c>
      <c r="Y107" s="61"/>
      <c r="Z107" s="61"/>
      <c r="AC107" s="61"/>
    </row>
    <row r="108" spans="12:29">
      <c r="L108" s="6" t="str">
        <f t="shared" si="1"/>
        <v/>
      </c>
      <c r="Y108" s="61"/>
      <c r="Z108" s="61"/>
      <c r="AC108" s="61"/>
    </row>
    <row r="109" spans="12:29">
      <c r="L109" s="6" t="str">
        <f t="shared" si="1"/>
        <v/>
      </c>
      <c r="Y109" s="61"/>
      <c r="Z109" s="61"/>
      <c r="AC109" s="61"/>
    </row>
    <row r="110" spans="12:29">
      <c r="L110" s="6" t="str">
        <f t="shared" si="1"/>
        <v/>
      </c>
      <c r="Y110" s="61"/>
      <c r="Z110" s="61"/>
      <c r="AC110" s="61"/>
    </row>
    <row r="111" spans="12:29">
      <c r="L111" s="6" t="str">
        <f t="shared" si="1"/>
        <v/>
      </c>
      <c r="Y111" s="61"/>
      <c r="Z111" s="61"/>
      <c r="AC111" s="61"/>
    </row>
    <row r="112" spans="12:29">
      <c r="L112" s="6" t="str">
        <f t="shared" si="1"/>
        <v/>
      </c>
      <c r="Y112" s="61"/>
      <c r="Z112" s="61"/>
      <c r="AC112" s="61"/>
    </row>
    <row r="113" spans="12:29">
      <c r="L113" s="6" t="str">
        <f t="shared" si="1"/>
        <v/>
      </c>
      <c r="Y113" s="61"/>
      <c r="Z113" s="61"/>
      <c r="AC113" s="61"/>
    </row>
    <row r="114" spans="12:29">
      <c r="L114" s="6" t="str">
        <f t="shared" si="1"/>
        <v/>
      </c>
      <c r="Y114" s="61"/>
      <c r="Z114" s="61"/>
      <c r="AC114" s="61"/>
    </row>
    <row r="115" spans="12:29">
      <c r="L115" s="6" t="str">
        <f t="shared" si="1"/>
        <v/>
      </c>
      <c r="Y115" s="61"/>
      <c r="Z115" s="61"/>
      <c r="AC115" s="61"/>
    </row>
    <row r="116" spans="12:29">
      <c r="L116" s="6" t="str">
        <f t="shared" si="1"/>
        <v/>
      </c>
      <c r="Y116" s="61"/>
      <c r="Z116" s="61"/>
      <c r="AC116" s="61"/>
    </row>
    <row r="117" spans="12:29">
      <c r="L117" s="6" t="str">
        <f t="shared" si="1"/>
        <v/>
      </c>
      <c r="Y117" s="61"/>
      <c r="Z117" s="61"/>
      <c r="AC117" s="61"/>
    </row>
    <row r="118" spans="12:29">
      <c r="L118" s="6" t="str">
        <f t="shared" si="1"/>
        <v/>
      </c>
      <c r="Y118" s="61"/>
      <c r="Z118" s="61"/>
      <c r="AC118" s="61"/>
    </row>
    <row r="119" spans="12:29">
      <c r="L119" s="6" t="str">
        <f t="shared" si="1"/>
        <v/>
      </c>
      <c r="Y119" s="61"/>
      <c r="Z119" s="61"/>
      <c r="AC119" s="61"/>
    </row>
    <row r="120" spans="12:29">
      <c r="L120" s="6" t="str">
        <f t="shared" si="1"/>
        <v/>
      </c>
      <c r="Y120" s="61"/>
      <c r="Z120" s="61"/>
      <c r="AC120" s="61"/>
    </row>
    <row r="121" spans="12:29">
      <c r="L121" s="6" t="str">
        <f t="shared" si="1"/>
        <v/>
      </c>
      <c r="Y121" s="61"/>
      <c r="Z121" s="61"/>
      <c r="AC121" s="61"/>
    </row>
    <row r="122" spans="12:29">
      <c r="L122" s="6" t="str">
        <f t="shared" si="1"/>
        <v/>
      </c>
      <c r="Y122" s="61"/>
      <c r="Z122" s="61"/>
      <c r="AC122" s="61"/>
    </row>
    <row r="123" spans="12:29">
      <c r="L123" s="6" t="str">
        <f t="shared" si="1"/>
        <v/>
      </c>
      <c r="Y123" s="61"/>
      <c r="Z123" s="61"/>
      <c r="AC123" s="61"/>
    </row>
    <row r="124" spans="12:29">
      <c r="L124" s="6" t="str">
        <f t="shared" si="1"/>
        <v/>
      </c>
      <c r="Y124" s="61"/>
      <c r="Z124" s="61"/>
      <c r="AC124" s="61"/>
    </row>
    <row r="125" spans="12:29">
      <c r="L125" s="6" t="str">
        <f t="shared" si="1"/>
        <v/>
      </c>
      <c r="Y125" s="61"/>
      <c r="Z125" s="61"/>
      <c r="AC125" s="61"/>
    </row>
    <row r="126" spans="12:29">
      <c r="L126" s="6" t="str">
        <f t="shared" si="1"/>
        <v/>
      </c>
      <c r="Y126" s="61"/>
      <c r="Z126" s="61"/>
      <c r="AC126" s="61"/>
    </row>
    <row r="127" spans="12:29">
      <c r="L127" s="6" t="str">
        <f t="shared" si="1"/>
        <v/>
      </c>
      <c r="Y127" s="61"/>
      <c r="Z127" s="61"/>
      <c r="AC127" s="61"/>
    </row>
    <row r="128" spans="12:29">
      <c r="L128" s="6" t="str">
        <f t="shared" si="1"/>
        <v/>
      </c>
      <c r="Y128" s="61"/>
      <c r="Z128" s="61"/>
      <c r="AC128" s="61"/>
    </row>
    <row r="129" spans="12:29">
      <c r="L129" s="6" t="str">
        <f t="shared" si="1"/>
        <v/>
      </c>
      <c r="Y129" s="61"/>
      <c r="Z129" s="61"/>
      <c r="AC129" s="61"/>
    </row>
    <row r="130" spans="12:29">
      <c r="L130" s="6" t="str">
        <f t="shared" si="1"/>
        <v/>
      </c>
      <c r="Y130" s="61"/>
      <c r="Z130" s="61"/>
      <c r="AC130" s="61"/>
    </row>
    <row r="131" spans="12:29">
      <c r="L131" s="6" t="str">
        <f t="shared" si="1"/>
        <v/>
      </c>
      <c r="Y131" s="61"/>
      <c r="Z131" s="61"/>
      <c r="AC131" s="61"/>
    </row>
    <row r="132" spans="12:29">
      <c r="L132" s="6" t="str">
        <f t="shared" ref="L132:L147" si="2">J132&amp;K132</f>
        <v/>
      </c>
      <c r="Y132" s="61"/>
      <c r="Z132" s="61"/>
      <c r="AC132" s="61"/>
    </row>
    <row r="133" spans="12:29">
      <c r="L133" s="6" t="str">
        <f t="shared" si="2"/>
        <v/>
      </c>
      <c r="Y133" s="61"/>
      <c r="Z133" s="61"/>
      <c r="AC133" s="61"/>
    </row>
    <row r="134" spans="12:29">
      <c r="L134" s="6" t="str">
        <f t="shared" si="2"/>
        <v/>
      </c>
      <c r="Y134" s="61"/>
      <c r="Z134" s="61"/>
      <c r="AC134" s="61"/>
    </row>
    <row r="135" spans="12:29">
      <c r="L135" s="6" t="str">
        <f t="shared" si="2"/>
        <v/>
      </c>
      <c r="Y135" s="61"/>
      <c r="Z135" s="61"/>
      <c r="AC135" s="61"/>
    </row>
    <row r="136" spans="12:29">
      <c r="L136" s="6" t="str">
        <f t="shared" si="2"/>
        <v/>
      </c>
      <c r="Y136" s="61"/>
      <c r="Z136" s="61"/>
      <c r="AC136" s="61"/>
    </row>
    <row r="137" spans="12:29">
      <c r="L137" s="6" t="str">
        <f t="shared" si="2"/>
        <v/>
      </c>
      <c r="Y137" s="61"/>
      <c r="Z137" s="61"/>
      <c r="AC137" s="61"/>
    </row>
    <row r="138" spans="12:29">
      <c r="L138" s="6" t="str">
        <f t="shared" si="2"/>
        <v/>
      </c>
      <c r="Y138" s="61"/>
      <c r="Z138" s="61"/>
      <c r="AC138" s="61"/>
    </row>
    <row r="139" spans="12:29">
      <c r="L139" s="6" t="str">
        <f t="shared" si="2"/>
        <v/>
      </c>
      <c r="Y139" s="61"/>
      <c r="Z139" s="61"/>
      <c r="AC139" s="61"/>
    </row>
    <row r="140" spans="12:29">
      <c r="L140" s="6" t="str">
        <f t="shared" si="2"/>
        <v/>
      </c>
      <c r="Y140" s="61"/>
      <c r="Z140" s="61"/>
      <c r="AC140" s="61"/>
    </row>
    <row r="141" spans="12:29">
      <c r="L141" s="6" t="str">
        <f t="shared" si="2"/>
        <v/>
      </c>
      <c r="Y141" s="61"/>
      <c r="Z141" s="61"/>
      <c r="AC141" s="61"/>
    </row>
    <row r="142" spans="12:29">
      <c r="L142" s="6" t="str">
        <f t="shared" si="2"/>
        <v/>
      </c>
      <c r="Y142" s="61"/>
      <c r="Z142" s="61"/>
      <c r="AC142" s="61"/>
    </row>
    <row r="143" spans="12:29">
      <c r="L143" s="6" t="str">
        <f t="shared" si="2"/>
        <v/>
      </c>
      <c r="Y143" s="61"/>
      <c r="Z143" s="61"/>
      <c r="AC143" s="61"/>
    </row>
    <row r="144" spans="12:29">
      <c r="L144" s="6" t="str">
        <f t="shared" si="2"/>
        <v/>
      </c>
      <c r="Y144" s="61"/>
      <c r="Z144" s="61"/>
      <c r="AC144" s="61"/>
    </row>
    <row r="145" spans="12:29">
      <c r="L145" s="6" t="str">
        <f t="shared" si="2"/>
        <v/>
      </c>
      <c r="Y145" s="61"/>
      <c r="Z145" s="61"/>
      <c r="AC145" s="61"/>
    </row>
    <row r="146" spans="12:29">
      <c r="L146" s="6" t="str">
        <f t="shared" si="2"/>
        <v/>
      </c>
      <c r="Y146" s="61"/>
      <c r="Z146" s="61"/>
      <c r="AC146" s="61"/>
    </row>
    <row r="147" spans="12:29">
      <c r="L147" s="6" t="str">
        <f t="shared" si="2"/>
        <v/>
      </c>
      <c r="Y147" s="61"/>
      <c r="Z147" s="61"/>
      <c r="AC147" s="61"/>
    </row>
    <row r="148" spans="12:29">
      <c r="Y148" s="61"/>
      <c r="Z148" s="61"/>
      <c r="AC148" s="61"/>
    </row>
    <row r="149" spans="12:29">
      <c r="Y149" s="61"/>
      <c r="Z149" s="61"/>
      <c r="AC149" s="61"/>
    </row>
    <row r="150" spans="12:29">
      <c r="Y150" s="61"/>
      <c r="Z150" s="61"/>
      <c r="AC150" s="61"/>
    </row>
    <row r="151" spans="12:29">
      <c r="Y151" s="61"/>
      <c r="Z151" s="61"/>
      <c r="AC151" s="61"/>
    </row>
    <row r="152" spans="12:29">
      <c r="Y152" s="61"/>
      <c r="Z152" s="61"/>
      <c r="AC152" s="61"/>
    </row>
    <row r="153" spans="12:29">
      <c r="Y153" s="61"/>
      <c r="Z153" s="61"/>
      <c r="AC153" s="61"/>
    </row>
    <row r="154" spans="12:29">
      <c r="Y154" s="61"/>
      <c r="Z154" s="61"/>
      <c r="AC154" s="61"/>
    </row>
    <row r="155" spans="12:29">
      <c r="Y155" s="61"/>
      <c r="Z155" s="61"/>
      <c r="AC155" s="61"/>
    </row>
    <row r="156" spans="12:29">
      <c r="Y156" s="61"/>
      <c r="Z156" s="61"/>
      <c r="AC156" s="61"/>
    </row>
    <row r="157" spans="12:29">
      <c r="Y157" s="61"/>
      <c r="Z157" s="61"/>
      <c r="AC157" s="61"/>
    </row>
    <row r="158" spans="12:29">
      <c r="Y158" s="61"/>
      <c r="Z158" s="61"/>
      <c r="AC158" s="61"/>
    </row>
    <row r="159" spans="12:29">
      <c r="Y159" s="61"/>
      <c r="Z159" s="61"/>
      <c r="AC159" s="61"/>
    </row>
    <row r="160" spans="12:29">
      <c r="Y160" s="61"/>
      <c r="Z160" s="61"/>
      <c r="AC160" s="61"/>
    </row>
    <row r="161" spans="25:29">
      <c r="Y161" s="61"/>
      <c r="Z161" s="61"/>
      <c r="AC161" s="61"/>
    </row>
    <row r="162" spans="25:29">
      <c r="Y162" s="61"/>
      <c r="Z162" s="61"/>
      <c r="AC162" s="61"/>
    </row>
    <row r="163" spans="25:29">
      <c r="Y163" s="61"/>
      <c r="Z163" s="61"/>
      <c r="AC163" s="61"/>
    </row>
    <row r="164" spans="25:29">
      <c r="Y164" s="61"/>
      <c r="Z164" s="61"/>
      <c r="AC164" s="61"/>
    </row>
    <row r="165" spans="25:29">
      <c r="Y165" s="61"/>
      <c r="Z165" s="61"/>
      <c r="AC165" s="61"/>
    </row>
    <row r="166" spans="25:29">
      <c r="Y166" s="61"/>
      <c r="Z166" s="61"/>
      <c r="AC166" s="61"/>
    </row>
    <row r="167" spans="25:29">
      <c r="Y167" s="61"/>
      <c r="Z167" s="61"/>
      <c r="AC167" s="61"/>
    </row>
    <row r="168" spans="25:29">
      <c r="Y168" s="61"/>
      <c r="Z168" s="61"/>
      <c r="AC168" s="61"/>
    </row>
    <row r="169" spans="25:29">
      <c r="Y169" s="61"/>
      <c r="Z169" s="61"/>
      <c r="AC169" s="61"/>
    </row>
    <row r="170" spans="25:29">
      <c r="Y170" s="61"/>
      <c r="Z170" s="61"/>
      <c r="AC170" s="61"/>
    </row>
    <row r="171" spans="25:29">
      <c r="Y171" s="61"/>
      <c r="Z171" s="61"/>
      <c r="AC171" s="61"/>
    </row>
    <row r="172" spans="25:29">
      <c r="Y172" s="61"/>
      <c r="Z172" s="61"/>
      <c r="AC172" s="61"/>
    </row>
    <row r="173" spans="25:29">
      <c r="Y173" s="61"/>
      <c r="Z173" s="61"/>
      <c r="AC173" s="61"/>
    </row>
    <row r="174" spans="25:29">
      <c r="Y174" s="61"/>
      <c r="Z174" s="61"/>
      <c r="AC174" s="61"/>
    </row>
    <row r="175" spans="25:29">
      <c r="Y175" s="61"/>
      <c r="Z175" s="61"/>
      <c r="AC175" s="61"/>
    </row>
    <row r="176" spans="25:29">
      <c r="Y176" s="61"/>
      <c r="Z176" s="61"/>
      <c r="AC176" s="61"/>
    </row>
    <row r="177" spans="25:29">
      <c r="Y177" s="61"/>
      <c r="Z177" s="61"/>
      <c r="AC177" s="61"/>
    </row>
    <row r="178" spans="25:29">
      <c r="Y178" s="61"/>
      <c r="Z178" s="61"/>
      <c r="AC178" s="61"/>
    </row>
    <row r="179" spans="25:29">
      <c r="Y179" s="61"/>
      <c r="Z179" s="61"/>
      <c r="AC179" s="61"/>
    </row>
    <row r="180" spans="25:29">
      <c r="Y180" s="61"/>
      <c r="Z180" s="61"/>
      <c r="AC180" s="61"/>
    </row>
    <row r="181" spans="25:29">
      <c r="Y181" s="61"/>
      <c r="Z181" s="61"/>
      <c r="AC181" s="61"/>
    </row>
    <row r="182" spans="25:29">
      <c r="Y182" s="61"/>
      <c r="Z182" s="61"/>
      <c r="AC182" s="61"/>
    </row>
    <row r="183" spans="25:29">
      <c r="Y183" s="61"/>
      <c r="Z183" s="61"/>
      <c r="AC183" s="61"/>
    </row>
    <row r="184" spans="25:29">
      <c r="Y184" s="61"/>
      <c r="Z184" s="61"/>
      <c r="AC184" s="61"/>
    </row>
    <row r="185" spans="25:29">
      <c r="Y185" s="61"/>
      <c r="Z185" s="61"/>
      <c r="AC185" s="61"/>
    </row>
    <row r="186" spans="25:29">
      <c r="Y186" s="61"/>
      <c r="Z186" s="61"/>
      <c r="AC186" s="61"/>
    </row>
    <row r="187" spans="25:29">
      <c r="Y187" s="61"/>
      <c r="Z187" s="61"/>
      <c r="AC187" s="61"/>
    </row>
    <row r="188" spans="25:29">
      <c r="Y188" s="61"/>
      <c r="Z188" s="61"/>
      <c r="AC188" s="61"/>
    </row>
    <row r="189" spans="25:29">
      <c r="Y189" s="61"/>
      <c r="Z189" s="61"/>
      <c r="AC189" s="61"/>
    </row>
    <row r="190" spans="25:29">
      <c r="Y190" s="61"/>
      <c r="Z190" s="61"/>
      <c r="AC190" s="61"/>
    </row>
    <row r="191" spans="25:29">
      <c r="Y191" s="61"/>
      <c r="Z191" s="61"/>
      <c r="AC191" s="61"/>
    </row>
    <row r="192" spans="25:29">
      <c r="Y192" s="61"/>
      <c r="Z192" s="61"/>
      <c r="AC192" s="61"/>
    </row>
    <row r="193" spans="25:29">
      <c r="Y193" s="61"/>
      <c r="Z193" s="61"/>
      <c r="AC193" s="61"/>
    </row>
    <row r="194" spans="25:29">
      <c r="Y194" s="61"/>
      <c r="Z194" s="61"/>
      <c r="AC194" s="61"/>
    </row>
    <row r="195" spans="25:29">
      <c r="Y195" s="61"/>
      <c r="Z195" s="61"/>
      <c r="AC195" s="61"/>
    </row>
    <row r="196" spans="25:29">
      <c r="Y196" s="61"/>
      <c r="Z196" s="61"/>
      <c r="AC196" s="61"/>
    </row>
    <row r="197" spans="25:29">
      <c r="Y197" s="61"/>
      <c r="Z197" s="61"/>
      <c r="AC197" s="61"/>
    </row>
    <row r="198" spans="25:29">
      <c r="Y198" s="61"/>
      <c r="Z198" s="61"/>
      <c r="AC198" s="61"/>
    </row>
    <row r="199" spans="25:29">
      <c r="Y199" s="61"/>
      <c r="Z199" s="61"/>
      <c r="AC199" s="61"/>
    </row>
    <row r="200" spans="25:29">
      <c r="Y200" s="61"/>
      <c r="Z200" s="61"/>
      <c r="AC200" s="61"/>
    </row>
    <row r="201" spans="25:29">
      <c r="Y201" s="61"/>
      <c r="Z201" s="61"/>
      <c r="AC201" s="61"/>
    </row>
    <row r="202" spans="25:29">
      <c r="Y202" s="61"/>
      <c r="Z202" s="61"/>
      <c r="AC202" s="61"/>
    </row>
    <row r="203" spans="25:29">
      <c r="Y203" s="61"/>
      <c r="Z203" s="61"/>
      <c r="AC203" s="61"/>
    </row>
    <row r="204" spans="25:29">
      <c r="Y204" s="61"/>
      <c r="Z204" s="61"/>
      <c r="AC204" s="61"/>
    </row>
    <row r="205" spans="25:29">
      <c r="Y205" s="61"/>
      <c r="Z205" s="61"/>
      <c r="AC205" s="61"/>
    </row>
    <row r="206" spans="25:29">
      <c r="Y206" s="61"/>
      <c r="Z206" s="61"/>
      <c r="AC206" s="61"/>
    </row>
    <row r="207" spans="25:29">
      <c r="Y207" s="61"/>
      <c r="Z207" s="61"/>
      <c r="AC207" s="61"/>
    </row>
    <row r="208" spans="25:29">
      <c r="Y208" s="61"/>
      <c r="Z208" s="61"/>
      <c r="AC208" s="61"/>
    </row>
    <row r="209" spans="25:29">
      <c r="Y209" s="61"/>
      <c r="Z209" s="61"/>
      <c r="AC209" s="61"/>
    </row>
    <row r="210" spans="25:29">
      <c r="Y210" s="61"/>
      <c r="Z210" s="61"/>
      <c r="AC210" s="61"/>
    </row>
    <row r="211" spans="25:29">
      <c r="Y211" s="61"/>
      <c r="Z211" s="61"/>
      <c r="AC211" s="61"/>
    </row>
    <row r="212" spans="25:29">
      <c r="Y212" s="61"/>
      <c r="Z212" s="61"/>
      <c r="AC212" s="61"/>
    </row>
    <row r="213" spans="25:29">
      <c r="Y213" s="61"/>
      <c r="Z213" s="61"/>
      <c r="AC213" s="61"/>
    </row>
    <row r="214" spans="25:29">
      <c r="Y214" s="61"/>
      <c r="Z214" s="61"/>
      <c r="AC214" s="61"/>
    </row>
    <row r="215" spans="25:29">
      <c r="Y215" s="61"/>
      <c r="Z215" s="61"/>
      <c r="AC215" s="61"/>
    </row>
    <row r="216" spans="25:29">
      <c r="Y216" s="61"/>
      <c r="Z216" s="61"/>
      <c r="AC216" s="61"/>
    </row>
    <row r="217" spans="25:29">
      <c r="Y217" s="61"/>
      <c r="Z217" s="61"/>
      <c r="AC217" s="61"/>
    </row>
    <row r="218" spans="25:29">
      <c r="Y218" s="61"/>
      <c r="Z218" s="61"/>
      <c r="AC218" s="61"/>
    </row>
  </sheetData>
  <dataValidations count="2">
    <dataValidation type="list" allowBlank="1" showInputMessage="1" showErrorMessage="1" sqref="S3:Z9 AC3:AE9">
      <formula1>"FALSE,TRUE"</formula1>
    </dataValidation>
    <dataValidation type="list" allowBlank="1" showInputMessage="1" showErrorMessage="1" sqref="N3:R9">
      <formula1>"Size,Color,Grade,Specification,Company,Design,Stick,Packet Type, Bandroll, Strip, Stamp,Cartoon"</formula1>
    </dataValidation>
  </dataValidations>
  <pageMargins left="0.75" right="0.75" top="1" bottom="1" header="0.5" footer="0.5"/>
  <pageSetup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>
  <sheetPr codeName="Sheet9"/>
  <dimension ref="A1:F8"/>
  <sheetViews>
    <sheetView workbookViewId="0"/>
  </sheetViews>
  <sheetFormatPr defaultRowHeight="15"/>
  <cols>
    <col min="1" max="1" width="16" customWidth="1"/>
    <col min="2" max="2" width="18" customWidth="1"/>
    <col min="3" max="3" width="16.28515625" customWidth="1"/>
    <col min="4" max="4" width="14.85546875" customWidth="1"/>
    <col min="5" max="5" width="25.7109375" customWidth="1"/>
    <col min="6" max="6" width="14.140625" bestFit="1" customWidth="1"/>
  </cols>
  <sheetData>
    <row r="1" spans="1:6" ht="29.25" customHeight="1">
      <c r="A1" s="10" t="s">
        <v>117</v>
      </c>
      <c r="B1" s="10" t="s">
        <v>118</v>
      </c>
      <c r="C1" s="10" t="s">
        <v>119</v>
      </c>
      <c r="D1" s="10" t="s">
        <v>120</v>
      </c>
      <c r="E1" s="10" t="s">
        <v>121</v>
      </c>
      <c r="F1" s="10" t="s">
        <v>227</v>
      </c>
    </row>
    <row r="2" spans="1:6">
      <c r="A2" t="s">
        <v>235</v>
      </c>
      <c r="B2" t="s">
        <v>230</v>
      </c>
      <c r="C2">
        <v>10</v>
      </c>
      <c r="D2">
        <v>100</v>
      </c>
      <c r="E2" s="11" t="s">
        <v>234</v>
      </c>
      <c r="F2" t="s">
        <v>229</v>
      </c>
    </row>
    <row r="3" spans="1:6">
      <c r="A3" t="s">
        <v>235</v>
      </c>
      <c r="B3" t="s">
        <v>231</v>
      </c>
      <c r="C3">
        <v>20</v>
      </c>
      <c r="D3">
        <v>200</v>
      </c>
      <c r="E3" s="11" t="s">
        <v>234</v>
      </c>
      <c r="F3" t="s">
        <v>228</v>
      </c>
    </row>
    <row r="4" spans="1:6">
      <c r="A4" t="s">
        <v>235</v>
      </c>
      <c r="B4" t="s">
        <v>232</v>
      </c>
      <c r="C4">
        <v>30</v>
      </c>
      <c r="D4">
        <v>300</v>
      </c>
      <c r="E4" s="11" t="s">
        <v>234</v>
      </c>
      <c r="F4" t="s">
        <v>229</v>
      </c>
    </row>
    <row r="5" spans="1:6">
      <c r="A5" t="s">
        <v>235</v>
      </c>
      <c r="B5" t="s">
        <v>233</v>
      </c>
      <c r="C5">
        <v>40</v>
      </c>
      <c r="D5">
        <v>400</v>
      </c>
      <c r="E5" s="11" t="s">
        <v>234</v>
      </c>
      <c r="F5" t="s">
        <v>228</v>
      </c>
    </row>
    <row r="6" spans="1:6">
      <c r="E6" s="11"/>
    </row>
    <row r="7" spans="1:6">
      <c r="E7" s="11"/>
    </row>
    <row r="8" spans="1:6">
      <c r="E8" s="11"/>
    </row>
  </sheetData>
  <dataValidations count="2">
    <dataValidation operator="greaterThanOrEqual" allowBlank="1" showInputMessage="1" showErrorMessage="1" sqref="E2:E8"/>
    <dataValidation type="list" allowBlank="1" showInputMessage="1" showErrorMessage="1" sqref="F2:F5">
      <formula1>"Local,Import"</formula1>
    </dataValidation>
  </dataValidation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Sheet10"/>
  <dimension ref="A1:O4"/>
  <sheetViews>
    <sheetView topLeftCell="D2" workbookViewId="0">
      <selection activeCell="K8" sqref="K8"/>
    </sheetView>
  </sheetViews>
  <sheetFormatPr defaultRowHeight="15"/>
  <cols>
    <col min="1" max="1" width="19.7109375" bestFit="1" customWidth="1"/>
    <col min="2" max="2" width="17.42578125" hidden="1" customWidth="1"/>
    <col min="3" max="3" width="23.28515625" hidden="1" customWidth="1"/>
    <col min="4" max="4" width="12.28515625" bestFit="1" customWidth="1"/>
    <col min="5" max="5" width="18.85546875" style="14" bestFit="1" customWidth="1"/>
    <col min="6" max="6" width="10.28515625" bestFit="1" customWidth="1"/>
    <col min="7" max="7" width="8.140625" bestFit="1" customWidth="1"/>
    <col min="8" max="8" width="12.5703125" bestFit="1" customWidth="1"/>
    <col min="9" max="9" width="35.85546875" bestFit="1" customWidth="1"/>
    <col min="10" max="10" width="35.85546875" customWidth="1"/>
    <col min="11" max="11" width="11.85546875" bestFit="1" customWidth="1"/>
    <col min="12" max="12" width="16.28515625" bestFit="1" customWidth="1"/>
    <col min="13" max="13" width="5.140625" bestFit="1" customWidth="1"/>
    <col min="14" max="14" width="11.140625" bestFit="1" customWidth="1"/>
  </cols>
  <sheetData>
    <row r="1" spans="1:15" ht="23.25" hidden="1" customHeight="1" thickBot="1">
      <c r="A1" s="13" t="s">
        <v>96</v>
      </c>
      <c r="B1" s="13" t="s">
        <v>134</v>
      </c>
      <c r="C1" s="13" t="s">
        <v>265</v>
      </c>
      <c r="D1" s="13" t="s">
        <v>135</v>
      </c>
      <c r="E1" s="13" t="s">
        <v>145</v>
      </c>
      <c r="F1" s="13" t="s">
        <v>136</v>
      </c>
      <c r="G1" s="13" t="s">
        <v>137</v>
      </c>
      <c r="H1" s="13" t="s">
        <v>138</v>
      </c>
      <c r="I1" s="13" t="s">
        <v>139</v>
      </c>
      <c r="J1" s="13" t="s">
        <v>267</v>
      </c>
      <c r="K1" s="13" t="s">
        <v>140</v>
      </c>
      <c r="L1" s="13" t="s">
        <v>141</v>
      </c>
      <c r="M1" s="13" t="s">
        <v>142</v>
      </c>
      <c r="N1" s="13" t="s">
        <v>143</v>
      </c>
      <c r="O1" s="13" t="s">
        <v>17</v>
      </c>
    </row>
    <row r="2" spans="1:15" ht="24" customHeight="1" thickBot="1">
      <c r="A2" s="12" t="s">
        <v>122</v>
      </c>
      <c r="B2" s="12" t="s">
        <v>123</v>
      </c>
      <c r="C2" s="12" t="s">
        <v>266</v>
      </c>
      <c r="D2" s="12" t="s">
        <v>124</v>
      </c>
      <c r="E2" s="12" t="s">
        <v>144</v>
      </c>
      <c r="F2" s="12" t="s">
        <v>125</v>
      </c>
      <c r="G2" s="12" t="s">
        <v>126</v>
      </c>
      <c r="H2" s="12" t="s">
        <v>127</v>
      </c>
      <c r="I2" s="12" t="s">
        <v>128</v>
      </c>
      <c r="J2" s="12" t="s">
        <v>268</v>
      </c>
      <c r="K2" s="12" t="s">
        <v>129</v>
      </c>
      <c r="L2" s="12" t="s">
        <v>130</v>
      </c>
      <c r="M2" s="12" t="s">
        <v>131</v>
      </c>
      <c r="N2" s="12" t="s">
        <v>132</v>
      </c>
      <c r="O2" s="12" t="s">
        <v>133</v>
      </c>
    </row>
    <row r="3" spans="1:15">
      <c r="A3" t="s">
        <v>271</v>
      </c>
      <c r="D3">
        <v>4</v>
      </c>
      <c r="E3" t="s">
        <v>270</v>
      </c>
      <c r="F3">
        <v>2</v>
      </c>
      <c r="J3" t="s">
        <v>270</v>
      </c>
      <c r="N3">
        <v>1</v>
      </c>
      <c r="O3">
        <v>1</v>
      </c>
    </row>
    <row r="4" spans="1:15">
      <c r="A4" t="s">
        <v>272</v>
      </c>
      <c r="D4">
        <v>5</v>
      </c>
      <c r="E4" t="s">
        <v>218</v>
      </c>
      <c r="F4">
        <v>2</v>
      </c>
      <c r="J4" t="s">
        <v>218</v>
      </c>
      <c r="N4">
        <v>1</v>
      </c>
      <c r="O4">
        <v>1</v>
      </c>
    </row>
  </sheetData>
  <pageMargins left="0.7" right="0.7" top="0.75" bottom="0.75" header="0.3" footer="0.3"/>
  <pageSetup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>
  <dimension ref="A1:R2"/>
  <sheetViews>
    <sheetView workbookViewId="0">
      <selection activeCell="J6" sqref="J6"/>
    </sheetView>
  </sheetViews>
  <sheetFormatPr defaultRowHeight="15"/>
  <sheetData>
    <row r="1" spans="1:18" ht="45.75" thickBot="1">
      <c r="A1" s="20" t="s">
        <v>247</v>
      </c>
      <c r="B1" s="20" t="s">
        <v>248</v>
      </c>
      <c r="C1" s="20" t="s">
        <v>249</v>
      </c>
      <c r="D1" s="20" t="s">
        <v>250</v>
      </c>
      <c r="E1" s="20" t="s">
        <v>251</v>
      </c>
      <c r="F1" s="20" t="s">
        <v>252</v>
      </c>
      <c r="G1" s="20" t="s">
        <v>253</v>
      </c>
      <c r="H1" s="20" t="s">
        <v>254</v>
      </c>
      <c r="I1" s="20" t="s">
        <v>255</v>
      </c>
      <c r="J1" s="20" t="s">
        <v>256</v>
      </c>
      <c r="K1" s="20" t="s">
        <v>257</v>
      </c>
      <c r="L1" s="20" t="s">
        <v>258</v>
      </c>
      <c r="M1" s="20" t="s">
        <v>259</v>
      </c>
      <c r="N1" s="20" t="s">
        <v>260</v>
      </c>
      <c r="O1" s="20" t="s">
        <v>261</v>
      </c>
      <c r="P1" s="20" t="s">
        <v>262</v>
      </c>
      <c r="Q1" s="20" t="s">
        <v>263</v>
      </c>
      <c r="R1" s="21" t="s">
        <v>264</v>
      </c>
    </row>
    <row r="2" spans="1:18">
      <c r="A2">
        <v>1</v>
      </c>
      <c r="B2">
        <v>2</v>
      </c>
      <c r="C2">
        <v>3</v>
      </c>
      <c r="D2">
        <v>4</v>
      </c>
      <c r="E2">
        <v>5</v>
      </c>
      <c r="I2">
        <v>6</v>
      </c>
      <c r="J2">
        <v>7</v>
      </c>
    </row>
  </sheetData>
  <dataValidations count="1">
    <dataValidation type="decimal" allowBlank="1" showInputMessage="1" showErrorMessage="1" sqref="A2:R2">
      <formula1>0</formula1>
      <formula2>999999999999999000</formula2>
    </dataValidation>
  </dataValidations>
  <pageMargins left="0.7" right="0.7" top="0.75" bottom="0.75" header="0.3" footer="0.3"/>
  <pageSetup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Sheet11"/>
  <dimension ref="A1:AB2"/>
  <sheetViews>
    <sheetView workbookViewId="0">
      <selection activeCell="G9" sqref="G9"/>
    </sheetView>
  </sheetViews>
  <sheetFormatPr defaultRowHeight="15"/>
  <cols>
    <col min="1" max="1" width="14.7109375" customWidth="1"/>
    <col min="2" max="2" width="11.42578125" bestFit="1" customWidth="1"/>
    <col min="3" max="3" width="13.5703125" bestFit="1" customWidth="1"/>
    <col min="4" max="4" width="17.140625" customWidth="1"/>
    <col min="6" max="6" width="6.7109375" bestFit="1" customWidth="1"/>
    <col min="7" max="7" width="13.85546875" customWidth="1"/>
    <col min="8" max="8" width="16.42578125" bestFit="1" customWidth="1"/>
    <col min="9" max="9" width="17.7109375" bestFit="1" customWidth="1"/>
    <col min="10" max="10" width="10.85546875" bestFit="1" customWidth="1"/>
    <col min="11" max="11" width="7.28515625" bestFit="1" customWidth="1"/>
    <col min="12" max="12" width="8.85546875" bestFit="1" customWidth="1"/>
    <col min="13" max="13" width="7.7109375" bestFit="1" customWidth="1"/>
    <col min="14" max="14" width="16.85546875" bestFit="1" customWidth="1"/>
    <col min="15" max="15" width="9.42578125" bestFit="1" customWidth="1"/>
    <col min="16" max="16" width="17.5703125" customWidth="1"/>
    <col min="17" max="17" width="13.7109375" customWidth="1"/>
    <col min="18" max="18" width="8.28515625" bestFit="1" customWidth="1"/>
    <col min="19" max="19" width="12.7109375" customWidth="1"/>
    <col min="20" max="20" width="9.42578125" bestFit="1" customWidth="1"/>
    <col min="21" max="21" width="14.42578125" customWidth="1"/>
    <col min="22" max="22" width="10.140625" customWidth="1"/>
    <col min="23" max="23" width="12.5703125" bestFit="1" customWidth="1"/>
    <col min="24" max="24" width="10.7109375" bestFit="1" customWidth="1"/>
    <col min="25" max="25" width="7.85546875" bestFit="1" customWidth="1"/>
  </cols>
  <sheetData>
    <row r="1" spans="1:28" ht="75.75" thickBot="1">
      <c r="A1" s="19" t="s">
        <v>160</v>
      </c>
      <c r="B1" s="20" t="s">
        <v>157</v>
      </c>
      <c r="C1" s="20" t="s">
        <v>150</v>
      </c>
      <c r="D1" s="20" t="s">
        <v>159</v>
      </c>
      <c r="E1" s="20" t="s">
        <v>161</v>
      </c>
      <c r="F1" s="20" t="s">
        <v>151</v>
      </c>
      <c r="G1" s="20" t="s">
        <v>155</v>
      </c>
      <c r="H1" s="20" t="s">
        <v>162</v>
      </c>
      <c r="I1" s="20" t="s">
        <v>147</v>
      </c>
      <c r="J1" s="20" t="s">
        <v>146</v>
      </c>
      <c r="K1" s="20" t="s">
        <v>154</v>
      </c>
      <c r="L1" s="20" t="s">
        <v>153</v>
      </c>
      <c r="M1" s="20" t="s">
        <v>158</v>
      </c>
      <c r="N1" s="20" t="s">
        <v>236</v>
      </c>
      <c r="O1" s="20" t="s">
        <v>148</v>
      </c>
      <c r="P1" s="20" t="s">
        <v>237</v>
      </c>
      <c r="Q1" s="20" t="s">
        <v>149</v>
      </c>
      <c r="R1" s="20" t="s">
        <v>156</v>
      </c>
      <c r="S1" s="20" t="s">
        <v>152</v>
      </c>
      <c r="T1" s="20" t="s">
        <v>238</v>
      </c>
      <c r="U1" s="20" t="s">
        <v>239</v>
      </c>
      <c r="V1" s="20" t="s">
        <v>240</v>
      </c>
      <c r="W1" s="20" t="s">
        <v>241</v>
      </c>
      <c r="X1" s="20" t="s">
        <v>242</v>
      </c>
      <c r="Y1" s="20" t="s">
        <v>243</v>
      </c>
      <c r="Z1" s="20" t="s">
        <v>244</v>
      </c>
      <c r="AA1" s="20" t="s">
        <v>245</v>
      </c>
      <c r="AB1" s="21" t="s">
        <v>246</v>
      </c>
    </row>
    <row r="2" spans="1:28">
      <c r="A2">
        <v>0</v>
      </c>
      <c r="B2">
        <v>150.56</v>
      </c>
      <c r="C2">
        <v>0</v>
      </c>
      <c r="D2" s="14">
        <v>0</v>
      </c>
      <c r="E2">
        <v>0</v>
      </c>
      <c r="F2">
        <v>0</v>
      </c>
      <c r="G2">
        <v>326.36</v>
      </c>
      <c r="H2">
        <v>0</v>
      </c>
      <c r="I2">
        <v>0</v>
      </c>
      <c r="J2">
        <v>0</v>
      </c>
      <c r="K2">
        <v>688.45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</v>
      </c>
      <c r="W2">
        <v>2</v>
      </c>
      <c r="X2">
        <v>3</v>
      </c>
      <c r="Y2">
        <v>4</v>
      </c>
      <c r="Z2">
        <v>5</v>
      </c>
      <c r="AA2">
        <v>7</v>
      </c>
      <c r="AB2">
        <v>8</v>
      </c>
    </row>
  </sheetData>
  <dataValidations count="1">
    <dataValidation type="decimal" allowBlank="1" showInputMessage="1" showErrorMessage="1" sqref="A2:AB2">
      <formula1>0</formula1>
      <formula2>999999999999999000</formula2>
    </dataValidation>
  </dataValidation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31"/>
  <sheetViews>
    <sheetView topLeftCell="A2" workbookViewId="0">
      <selection activeCell="H11" sqref="H11"/>
    </sheetView>
  </sheetViews>
  <sheetFormatPr defaultRowHeight="15"/>
  <cols>
    <col min="1" max="1" width="36.85546875" customWidth="1"/>
    <col min="2" max="2" width="54.5703125" customWidth="1"/>
    <col min="3" max="3" width="17.7109375" bestFit="1" customWidth="1"/>
    <col min="4" max="4" width="13.7109375" bestFit="1" customWidth="1"/>
    <col min="5" max="6" width="19.28515625" hidden="1" customWidth="1"/>
    <col min="7" max="7" width="22.140625" customWidth="1"/>
    <col min="8" max="8" width="10.140625" bestFit="1" customWidth="1"/>
    <col min="9" max="9" width="8.7109375" bestFit="1" customWidth="1"/>
    <col min="10" max="10" width="5.85546875" bestFit="1" customWidth="1"/>
    <col min="11" max="11" width="9.28515625" bestFit="1" customWidth="1"/>
    <col min="12" max="12" width="8.5703125" bestFit="1" customWidth="1"/>
  </cols>
  <sheetData>
    <row r="1" spans="1:12" hidden="1">
      <c r="A1" s="15" t="s">
        <v>166</v>
      </c>
      <c r="B1" s="15" t="s">
        <v>167</v>
      </c>
      <c r="C1" s="15" t="s">
        <v>168</v>
      </c>
      <c r="D1" s="15" t="s">
        <v>169</v>
      </c>
      <c r="E1" s="15" t="s">
        <v>170</v>
      </c>
      <c r="F1" s="15" t="s">
        <v>171</v>
      </c>
      <c r="G1" s="15" t="s">
        <v>96</v>
      </c>
      <c r="H1" s="15" t="s">
        <v>104</v>
      </c>
      <c r="I1" s="15" t="s">
        <v>10</v>
      </c>
      <c r="J1" s="15" t="s">
        <v>2</v>
      </c>
      <c r="K1" s="15" t="s">
        <v>172</v>
      </c>
      <c r="L1" s="15" t="s">
        <v>17</v>
      </c>
    </row>
    <row r="2" spans="1:12">
      <c r="A2" s="16" t="s">
        <v>166</v>
      </c>
      <c r="B2" s="16" t="s">
        <v>167</v>
      </c>
      <c r="C2" s="16" t="s">
        <v>168</v>
      </c>
      <c r="D2" s="16" t="s">
        <v>169</v>
      </c>
      <c r="E2" s="16" t="s">
        <v>170</v>
      </c>
      <c r="F2" s="16" t="s">
        <v>171</v>
      </c>
      <c r="G2" s="16" t="s">
        <v>96</v>
      </c>
      <c r="H2" s="16" t="s">
        <v>104</v>
      </c>
      <c r="I2" s="16" t="s">
        <v>10</v>
      </c>
      <c r="J2" s="16" t="s">
        <v>2</v>
      </c>
      <c r="K2" s="16" t="s">
        <v>172</v>
      </c>
      <c r="L2" s="16" t="s">
        <v>17</v>
      </c>
    </row>
    <row r="3" spans="1:12">
      <c r="A3" t="s">
        <v>197</v>
      </c>
      <c r="B3" t="s">
        <v>181</v>
      </c>
      <c r="C3" t="s">
        <v>176</v>
      </c>
      <c r="D3">
        <v>2</v>
      </c>
      <c r="G3" t="s">
        <v>177</v>
      </c>
      <c r="H3" t="s">
        <v>178</v>
      </c>
      <c r="I3">
        <v>4</v>
      </c>
      <c r="J3" t="s">
        <v>179</v>
      </c>
      <c r="K3">
        <v>500</v>
      </c>
      <c r="L3" t="s">
        <v>175</v>
      </c>
    </row>
    <row r="4" spans="1:12">
      <c r="A4" t="s">
        <v>193</v>
      </c>
      <c r="B4" t="s">
        <v>183</v>
      </c>
      <c r="C4" t="s">
        <v>174</v>
      </c>
      <c r="D4">
        <v>3</v>
      </c>
      <c r="G4" t="s">
        <v>177</v>
      </c>
      <c r="H4" t="s">
        <v>178</v>
      </c>
      <c r="I4">
        <v>10</v>
      </c>
      <c r="J4" t="s">
        <v>179</v>
      </c>
      <c r="K4">
        <v>500</v>
      </c>
      <c r="L4" t="s">
        <v>175</v>
      </c>
    </row>
    <row r="5" spans="1:12">
      <c r="A5" t="s">
        <v>186</v>
      </c>
      <c r="B5" t="s">
        <v>185</v>
      </c>
      <c r="C5" t="s">
        <v>174</v>
      </c>
      <c r="D5">
        <v>4</v>
      </c>
      <c r="G5" t="s">
        <v>177</v>
      </c>
      <c r="H5" t="s">
        <v>178</v>
      </c>
      <c r="I5">
        <v>5</v>
      </c>
      <c r="J5" t="s">
        <v>179</v>
      </c>
      <c r="K5">
        <v>500</v>
      </c>
      <c r="L5" t="s">
        <v>175</v>
      </c>
    </row>
    <row r="6" spans="1:12">
      <c r="A6" t="s">
        <v>184</v>
      </c>
      <c r="B6" t="s">
        <v>187</v>
      </c>
      <c r="C6" t="s">
        <v>174</v>
      </c>
      <c r="D6">
        <v>5</v>
      </c>
      <c r="G6" t="s">
        <v>177</v>
      </c>
      <c r="H6" t="s">
        <v>178</v>
      </c>
      <c r="I6">
        <v>10</v>
      </c>
      <c r="J6" t="s">
        <v>179</v>
      </c>
      <c r="K6">
        <v>500</v>
      </c>
      <c r="L6" t="s">
        <v>175</v>
      </c>
    </row>
    <row r="7" spans="1:12">
      <c r="A7" t="s">
        <v>202</v>
      </c>
      <c r="B7" t="s">
        <v>183</v>
      </c>
      <c r="C7" t="s">
        <v>174</v>
      </c>
      <c r="D7">
        <v>7</v>
      </c>
      <c r="G7" t="s">
        <v>177</v>
      </c>
      <c r="H7" t="s">
        <v>178</v>
      </c>
      <c r="I7">
        <v>2</v>
      </c>
      <c r="J7" t="s">
        <v>179</v>
      </c>
      <c r="K7">
        <v>500</v>
      </c>
      <c r="L7" t="s">
        <v>175</v>
      </c>
    </row>
    <row r="8" spans="1:12">
      <c r="A8" t="s">
        <v>206</v>
      </c>
      <c r="B8" t="s">
        <v>191</v>
      </c>
      <c r="C8" t="s">
        <v>174</v>
      </c>
      <c r="D8">
        <v>8</v>
      </c>
      <c r="G8" t="s">
        <v>177</v>
      </c>
      <c r="H8" t="s">
        <v>178</v>
      </c>
      <c r="I8">
        <v>5</v>
      </c>
      <c r="J8" t="s">
        <v>179</v>
      </c>
      <c r="K8">
        <v>500</v>
      </c>
      <c r="L8" t="s">
        <v>175</v>
      </c>
    </row>
    <row r="9" spans="1:12">
      <c r="A9" t="s">
        <v>173</v>
      </c>
      <c r="B9" t="s">
        <v>175</v>
      </c>
      <c r="C9" t="s">
        <v>174</v>
      </c>
      <c r="D9">
        <v>10</v>
      </c>
      <c r="G9" t="s">
        <v>177</v>
      </c>
      <c r="H9" t="s">
        <v>178</v>
      </c>
      <c r="I9">
        <v>5</v>
      </c>
      <c r="J9" t="s">
        <v>179</v>
      </c>
      <c r="K9">
        <v>500</v>
      </c>
      <c r="L9" t="s">
        <v>175</v>
      </c>
    </row>
    <row r="10" spans="1:12">
      <c r="A10" t="s">
        <v>180</v>
      </c>
      <c r="B10" t="s">
        <v>163</v>
      </c>
      <c r="C10" t="s">
        <v>176</v>
      </c>
      <c r="D10">
        <v>13</v>
      </c>
      <c r="G10" t="s">
        <v>177</v>
      </c>
      <c r="H10" t="s">
        <v>178</v>
      </c>
      <c r="I10">
        <v>10</v>
      </c>
      <c r="J10" t="s">
        <v>179</v>
      </c>
      <c r="K10">
        <v>490</v>
      </c>
      <c r="L10" t="s">
        <v>175</v>
      </c>
    </row>
    <row r="11" spans="1:12">
      <c r="A11" t="s">
        <v>189</v>
      </c>
      <c r="B11" t="s">
        <v>198</v>
      </c>
      <c r="C11" t="s">
        <v>176</v>
      </c>
      <c r="D11">
        <v>15</v>
      </c>
      <c r="G11" t="s">
        <v>177</v>
      </c>
      <c r="H11" t="s">
        <v>178</v>
      </c>
      <c r="I11">
        <v>5</v>
      </c>
      <c r="J11" t="s">
        <v>179</v>
      </c>
      <c r="K11">
        <v>490</v>
      </c>
      <c r="L11" t="s">
        <v>175</v>
      </c>
    </row>
    <row r="12" spans="1:12">
      <c r="A12" t="s">
        <v>204</v>
      </c>
      <c r="B12" t="s">
        <v>200</v>
      </c>
      <c r="C12" t="s">
        <v>176</v>
      </c>
      <c r="D12">
        <v>16</v>
      </c>
      <c r="G12" t="s">
        <v>177</v>
      </c>
      <c r="H12" t="s">
        <v>178</v>
      </c>
      <c r="I12">
        <v>10</v>
      </c>
      <c r="J12" t="s">
        <v>179</v>
      </c>
      <c r="K12">
        <v>500</v>
      </c>
      <c r="L12" t="s">
        <v>175</v>
      </c>
    </row>
    <row r="13" spans="1:12">
      <c r="A13" t="s">
        <v>195</v>
      </c>
      <c r="B13" t="s">
        <v>187</v>
      </c>
      <c r="C13" t="s">
        <v>176</v>
      </c>
      <c r="D13">
        <v>19</v>
      </c>
      <c r="G13" t="s">
        <v>177</v>
      </c>
      <c r="H13" t="s">
        <v>178</v>
      </c>
      <c r="I13">
        <v>1</v>
      </c>
      <c r="J13" t="s">
        <v>179</v>
      </c>
      <c r="K13">
        <v>490</v>
      </c>
      <c r="L13" t="s">
        <v>175</v>
      </c>
    </row>
    <row r="14" spans="1:12">
      <c r="A14" t="s">
        <v>196</v>
      </c>
      <c r="B14" t="s">
        <v>205</v>
      </c>
      <c r="C14" t="s">
        <v>174</v>
      </c>
      <c r="D14">
        <v>20</v>
      </c>
      <c r="G14" t="s">
        <v>177</v>
      </c>
      <c r="H14" t="s">
        <v>178</v>
      </c>
      <c r="I14">
        <v>5</v>
      </c>
      <c r="J14" t="s">
        <v>179</v>
      </c>
      <c r="K14">
        <v>500</v>
      </c>
      <c r="L14" t="s">
        <v>175</v>
      </c>
    </row>
    <row r="15" spans="1:12">
      <c r="A15" t="s">
        <v>203</v>
      </c>
      <c r="B15" t="s">
        <v>175</v>
      </c>
      <c r="C15" t="s">
        <v>174</v>
      </c>
      <c r="D15">
        <v>22</v>
      </c>
      <c r="G15" t="s">
        <v>177</v>
      </c>
      <c r="H15" t="s">
        <v>178</v>
      </c>
      <c r="I15">
        <v>30</v>
      </c>
      <c r="J15" t="s">
        <v>179</v>
      </c>
      <c r="K15">
        <v>500</v>
      </c>
      <c r="L15" t="s">
        <v>175</v>
      </c>
    </row>
    <row r="16" spans="1:12">
      <c r="A16" t="s">
        <v>192</v>
      </c>
      <c r="B16" t="s">
        <v>209</v>
      </c>
      <c r="C16" t="s">
        <v>176</v>
      </c>
      <c r="D16">
        <v>23</v>
      </c>
      <c r="G16" t="s">
        <v>177</v>
      </c>
      <c r="H16" t="s">
        <v>178</v>
      </c>
      <c r="I16">
        <v>5</v>
      </c>
      <c r="J16" t="s">
        <v>179</v>
      </c>
      <c r="K16">
        <v>500</v>
      </c>
      <c r="L16" t="s">
        <v>175</v>
      </c>
    </row>
    <row r="17" spans="1:12">
      <c r="A17" t="s">
        <v>215</v>
      </c>
      <c r="B17" t="s">
        <v>209</v>
      </c>
      <c r="C17" t="s">
        <v>174</v>
      </c>
      <c r="D17">
        <v>24</v>
      </c>
      <c r="G17" t="s">
        <v>177</v>
      </c>
      <c r="H17" t="s">
        <v>178</v>
      </c>
      <c r="I17">
        <v>10</v>
      </c>
      <c r="J17" t="s">
        <v>179</v>
      </c>
      <c r="K17">
        <v>500</v>
      </c>
      <c r="L17" t="s">
        <v>175</v>
      </c>
    </row>
    <row r="18" spans="1:12">
      <c r="A18" t="s">
        <v>210</v>
      </c>
      <c r="B18" t="s">
        <v>175</v>
      </c>
      <c r="C18" t="s">
        <v>176</v>
      </c>
      <c r="D18">
        <v>25</v>
      </c>
      <c r="G18" t="s">
        <v>177</v>
      </c>
      <c r="H18" t="s">
        <v>178</v>
      </c>
      <c r="I18">
        <v>5</v>
      </c>
      <c r="J18" t="s">
        <v>179</v>
      </c>
      <c r="K18">
        <v>500</v>
      </c>
      <c r="L18" t="s">
        <v>175</v>
      </c>
    </row>
    <row r="19" spans="1:12">
      <c r="A19" t="s">
        <v>212</v>
      </c>
      <c r="B19" t="s">
        <v>175</v>
      </c>
      <c r="C19" t="s">
        <v>174</v>
      </c>
      <c r="D19">
        <v>26</v>
      </c>
      <c r="G19" t="s">
        <v>177</v>
      </c>
      <c r="H19" t="s">
        <v>178</v>
      </c>
      <c r="I19">
        <v>10</v>
      </c>
      <c r="J19" t="s">
        <v>179</v>
      </c>
      <c r="K19">
        <v>500</v>
      </c>
      <c r="L19" t="s">
        <v>175</v>
      </c>
    </row>
    <row r="20" spans="1:12">
      <c r="A20" t="s">
        <v>208</v>
      </c>
      <c r="B20" t="s">
        <v>214</v>
      </c>
      <c r="C20" t="s">
        <v>174</v>
      </c>
      <c r="D20">
        <v>27</v>
      </c>
      <c r="G20" t="s">
        <v>177</v>
      </c>
      <c r="H20" t="s">
        <v>178</v>
      </c>
      <c r="I20">
        <v>30</v>
      </c>
      <c r="J20" t="s">
        <v>179</v>
      </c>
      <c r="K20">
        <v>500</v>
      </c>
      <c r="L20" t="s">
        <v>175</v>
      </c>
    </row>
    <row r="21" spans="1:12">
      <c r="A21" t="s">
        <v>211</v>
      </c>
      <c r="B21" t="s">
        <v>175</v>
      </c>
      <c r="C21" t="s">
        <v>174</v>
      </c>
      <c r="D21">
        <v>28</v>
      </c>
      <c r="G21" t="s">
        <v>177</v>
      </c>
      <c r="H21" t="s">
        <v>178</v>
      </c>
      <c r="I21">
        <v>10</v>
      </c>
      <c r="J21" t="s">
        <v>179</v>
      </c>
      <c r="K21">
        <v>500</v>
      </c>
      <c r="L21" t="s">
        <v>175</v>
      </c>
    </row>
    <row r="22" spans="1:12">
      <c r="A22" t="s">
        <v>216</v>
      </c>
      <c r="B22" t="s">
        <v>175</v>
      </c>
      <c r="C22" t="s">
        <v>174</v>
      </c>
      <c r="D22">
        <v>30</v>
      </c>
      <c r="G22" t="s">
        <v>177</v>
      </c>
      <c r="H22" t="s">
        <v>178</v>
      </c>
      <c r="I22">
        <v>30</v>
      </c>
      <c r="J22" t="s">
        <v>179</v>
      </c>
      <c r="K22">
        <v>500</v>
      </c>
      <c r="L22" t="s">
        <v>175</v>
      </c>
    </row>
    <row r="23" spans="1:12">
      <c r="A23" t="s">
        <v>188</v>
      </c>
      <c r="B23" t="s">
        <v>175</v>
      </c>
      <c r="C23" t="s">
        <v>174</v>
      </c>
      <c r="D23">
        <v>31</v>
      </c>
      <c r="G23" t="s">
        <v>177</v>
      </c>
      <c r="H23" t="s">
        <v>178</v>
      </c>
      <c r="I23">
        <v>5</v>
      </c>
      <c r="J23" t="s">
        <v>179</v>
      </c>
      <c r="K23">
        <v>500</v>
      </c>
      <c r="L23" t="s">
        <v>175</v>
      </c>
    </row>
    <row r="24" spans="1:12">
      <c r="A24" t="s">
        <v>199</v>
      </c>
      <c r="B24" t="s">
        <v>175</v>
      </c>
      <c r="C24" t="s">
        <v>176</v>
      </c>
      <c r="D24">
        <v>32</v>
      </c>
      <c r="G24" t="s">
        <v>177</v>
      </c>
      <c r="H24" t="s">
        <v>178</v>
      </c>
      <c r="I24">
        <v>10</v>
      </c>
      <c r="J24" t="s">
        <v>179</v>
      </c>
      <c r="K24">
        <v>500</v>
      </c>
      <c r="L24" t="s">
        <v>175</v>
      </c>
    </row>
    <row r="25" spans="1:12">
      <c r="A25" t="s">
        <v>182</v>
      </c>
      <c r="B25" t="s">
        <v>175</v>
      </c>
      <c r="C25" t="s">
        <v>176</v>
      </c>
      <c r="D25">
        <v>34</v>
      </c>
      <c r="G25" t="s">
        <v>177</v>
      </c>
      <c r="H25" t="s">
        <v>178</v>
      </c>
      <c r="I25">
        <v>1</v>
      </c>
      <c r="J25" t="s">
        <v>179</v>
      </c>
      <c r="K25">
        <v>500</v>
      </c>
      <c r="L25" t="s">
        <v>175</v>
      </c>
    </row>
    <row r="26" spans="1:12">
      <c r="A26" t="s">
        <v>190</v>
      </c>
      <c r="B26" t="s">
        <v>175</v>
      </c>
      <c r="C26" t="s">
        <v>176</v>
      </c>
      <c r="D26">
        <v>35</v>
      </c>
      <c r="G26" t="s">
        <v>177</v>
      </c>
      <c r="H26" t="s">
        <v>178</v>
      </c>
      <c r="I26">
        <v>5</v>
      </c>
      <c r="J26" t="s">
        <v>179</v>
      </c>
      <c r="K26">
        <v>490</v>
      </c>
      <c r="L26" t="s">
        <v>175</v>
      </c>
    </row>
    <row r="27" spans="1:12">
      <c r="A27" t="s">
        <v>194</v>
      </c>
      <c r="B27" t="s">
        <v>175</v>
      </c>
      <c r="C27" t="s">
        <v>174</v>
      </c>
      <c r="D27">
        <v>36</v>
      </c>
      <c r="G27" t="s">
        <v>177</v>
      </c>
      <c r="H27" t="s">
        <v>178</v>
      </c>
      <c r="I27">
        <v>10</v>
      </c>
      <c r="J27" t="s">
        <v>179</v>
      </c>
      <c r="K27">
        <v>480</v>
      </c>
      <c r="L27" t="s">
        <v>175</v>
      </c>
    </row>
    <row r="28" spans="1:12">
      <c r="A28" t="s">
        <v>201</v>
      </c>
      <c r="B28" t="s">
        <v>175</v>
      </c>
      <c r="C28" t="s">
        <v>176</v>
      </c>
      <c r="D28">
        <v>37</v>
      </c>
      <c r="G28" t="s">
        <v>177</v>
      </c>
      <c r="H28" t="s">
        <v>178</v>
      </c>
      <c r="I28">
        <v>30</v>
      </c>
      <c r="J28" t="s">
        <v>179</v>
      </c>
      <c r="K28">
        <v>500</v>
      </c>
      <c r="L28" t="s">
        <v>175</v>
      </c>
    </row>
    <row r="29" spans="1:12">
      <c r="A29" t="s">
        <v>217</v>
      </c>
      <c r="B29" t="s">
        <v>175</v>
      </c>
      <c r="C29" t="s">
        <v>174</v>
      </c>
      <c r="D29">
        <v>38</v>
      </c>
      <c r="G29" t="s">
        <v>177</v>
      </c>
      <c r="H29" t="s">
        <v>178</v>
      </c>
      <c r="I29">
        <v>5</v>
      </c>
      <c r="J29" t="s">
        <v>179</v>
      </c>
      <c r="K29">
        <v>500</v>
      </c>
      <c r="L29" t="s">
        <v>175</v>
      </c>
    </row>
    <row r="30" spans="1:12">
      <c r="A30" t="s">
        <v>213</v>
      </c>
      <c r="B30" t="s">
        <v>175</v>
      </c>
      <c r="C30" t="s">
        <v>176</v>
      </c>
      <c r="D30">
        <v>39</v>
      </c>
      <c r="G30" t="s">
        <v>177</v>
      </c>
      <c r="H30" t="s">
        <v>178</v>
      </c>
      <c r="I30">
        <v>10</v>
      </c>
      <c r="J30" t="s">
        <v>179</v>
      </c>
      <c r="K30">
        <v>500</v>
      </c>
      <c r="L30" t="s">
        <v>175</v>
      </c>
    </row>
    <row r="31" spans="1:12">
      <c r="A31" t="s">
        <v>207</v>
      </c>
      <c r="B31" t="s">
        <v>175</v>
      </c>
      <c r="C31" t="s">
        <v>174</v>
      </c>
      <c r="D31">
        <v>40</v>
      </c>
      <c r="G31" t="s">
        <v>177</v>
      </c>
      <c r="H31" t="s">
        <v>178</v>
      </c>
      <c r="I31">
        <v>30</v>
      </c>
      <c r="J31" t="s">
        <v>179</v>
      </c>
      <c r="K31">
        <v>500</v>
      </c>
      <c r="L31" t="s">
        <v>175</v>
      </c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P2"/>
  <sheetViews>
    <sheetView tabSelected="1" workbookViewId="0">
      <selection activeCell="H11" sqref="H11"/>
    </sheetView>
  </sheetViews>
  <sheetFormatPr defaultRowHeight="15"/>
  <cols>
    <col min="1" max="1" width="12" customWidth="1"/>
    <col min="6" max="6" width="10.7109375" bestFit="1" customWidth="1"/>
    <col min="15" max="15" width="9.5703125" customWidth="1"/>
  </cols>
  <sheetData>
    <row r="1" spans="1:16" s="81" customFormat="1" ht="63.75" customHeight="1">
      <c r="A1" s="81" t="s">
        <v>372</v>
      </c>
      <c r="B1" s="81" t="s">
        <v>373</v>
      </c>
      <c r="C1" s="81" t="s">
        <v>88</v>
      </c>
      <c r="D1" s="81" t="s">
        <v>374</v>
      </c>
      <c r="E1" s="81" t="s">
        <v>375</v>
      </c>
      <c r="F1" s="81" t="s">
        <v>376</v>
      </c>
      <c r="G1" s="81" t="s">
        <v>90</v>
      </c>
      <c r="H1" s="81" t="s">
        <v>10</v>
      </c>
      <c r="I1" s="81" t="s">
        <v>2</v>
      </c>
      <c r="J1" s="81" t="s">
        <v>11</v>
      </c>
      <c r="K1" s="81" t="s">
        <v>367</v>
      </c>
      <c r="L1" s="81" t="s">
        <v>377</v>
      </c>
      <c r="M1" s="81" t="s">
        <v>9</v>
      </c>
      <c r="N1" s="81" t="s">
        <v>8</v>
      </c>
      <c r="O1" s="81" t="s">
        <v>368</v>
      </c>
      <c r="P1" s="81" t="s">
        <v>17</v>
      </c>
    </row>
    <row r="2" spans="1:16">
      <c r="A2" t="s">
        <v>369</v>
      </c>
      <c r="C2" t="s">
        <v>370</v>
      </c>
      <c r="E2">
        <v>23112020</v>
      </c>
      <c r="F2" s="11">
        <v>44158</v>
      </c>
      <c r="G2">
        <v>15</v>
      </c>
      <c r="H2">
        <v>10</v>
      </c>
      <c r="I2" t="s">
        <v>371</v>
      </c>
      <c r="J2">
        <v>50</v>
      </c>
      <c r="K2">
        <v>500</v>
      </c>
      <c r="L2">
        <v>575</v>
      </c>
      <c r="M2">
        <v>75</v>
      </c>
      <c r="N2">
        <v>0</v>
      </c>
      <c r="O2">
        <v>575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</vt:i4>
      </vt:variant>
    </vt:vector>
  </HeadingPairs>
  <TitlesOfParts>
    <vt:vector size="12" baseType="lpstr">
      <vt:lpstr>LocalPurchase</vt:lpstr>
      <vt:lpstr>ImportProduct</vt:lpstr>
      <vt:lpstr>SetParty</vt:lpstr>
      <vt:lpstr>SalesData1</vt:lpstr>
      <vt:lpstr>ItemList</vt:lpstr>
      <vt:lpstr>OpeningBalance</vt:lpstr>
      <vt:lpstr>PrincipalInputs</vt:lpstr>
      <vt:lpstr>OtherPrincipalInputs</vt:lpstr>
      <vt:lpstr>ValueAddition</vt:lpstr>
      <vt:lpstr>BulkSaleData</vt:lpstr>
      <vt:lpstr>SalesData</vt:lpstr>
      <vt:lpstr>SetParty!Print_Area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Sarowar</dc:creator>
  <cp:lastModifiedBy>mmkutadir</cp:lastModifiedBy>
  <dcterms:created xsi:type="dcterms:W3CDTF">2017-08-24T05:55:28Z</dcterms:created>
  <dcterms:modified xsi:type="dcterms:W3CDTF">2020-11-23T07:12:46Z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1033-11.2.0.8970</vt:lpwstr>
  </property>
</Properties>
</file>